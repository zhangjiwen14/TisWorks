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s-kimbun.cho\Desktop\trigger\"/>
    </mc:Choice>
  </mc:AlternateContent>
  <bookViews>
    <workbookView xWindow="0" yWindow="0" windowWidth="21072" windowHeight="9828" tabRatio="747"/>
  </bookViews>
  <sheets>
    <sheet name="テストケース_施設マスタトリガー" sheetId="1" r:id="rId1"/>
    <sheet name="ヘッダ" sheetId="6" r:id="rId2"/>
    <sheet name="S1.Insert" sheetId="15" r:id="rId3"/>
    <sheet name="S2.Update1" sheetId="13" r:id="rId4"/>
    <sheet name="S2.Update1_data" sheetId="16" r:id="rId5"/>
    <sheet name="S2.Update2" sheetId="14" r:id="rId6"/>
    <sheet name="S2.Update2_data" sheetId="17" r:id="rId7"/>
    <sheet name="Config" sheetId="10" state="hidden" r:id="rId8"/>
    <sheet name="エラー情報" sheetId="11" state="hidden" r:id="rId9"/>
  </sheets>
  <functionGroups builtInGroupCount="18"/>
  <definedNames>
    <definedName name="_xlnm._FilterDatabase" localSheetId="0">テストケース_施設マスタトリガー!$A$9:$AO$20</definedName>
    <definedName name="_xlnm.Print_Area" localSheetId="0">テストケース_施設マスタトリガー!$A$1:$AA$20</definedName>
    <definedName name="_xlnm.Print_Titles" localSheetId="0">テストケース_施設マスタトリガー!$1:$9</definedName>
    <definedName name="エラー領域">エラー情報!$A$2:$D$10000</definedName>
    <definedName name="シート名">Config!$B$1</definedName>
    <definedName name="テスト分類">ヘッダ!$G$9:$G$18</definedName>
    <definedName name="明細開始行">Config!$B$3</definedName>
    <definedName name="列_テストケースNo">Config!$B$6</definedName>
    <definedName name="列_一次検証実績日">Config!$B$8</definedName>
    <definedName name="列_一次検証予定日">Config!$B$7</definedName>
    <definedName name="列_最終行判断">Config!$B$15</definedName>
    <definedName name="列_削除日">Config!$B$14</definedName>
    <definedName name="列_三次検証実績日">Config!$B$12</definedName>
    <definedName name="列_三次検証予定日">Config!$B$11</definedName>
    <definedName name="列_追加日">Config!$B$13</definedName>
    <definedName name="列_二次検証実績日">Config!$B$10</definedName>
    <definedName name="列_二次検証予定日">Config!$B$9</definedName>
  </definedNames>
  <calcPr calcId="17102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S17" i="1" l="1"/>
  <c r="AS13" i="1"/>
  <c r="AS16" i="1"/>
  <c r="AS19" i="1"/>
  <c r="AS18" i="1"/>
  <c r="AG5" i="1" l="1"/>
  <c r="AH5" i="1"/>
  <c r="AA5" i="1" l="1"/>
  <c r="V5" i="1"/>
  <c r="N5" i="1"/>
  <c r="Z5" i="1"/>
  <c r="U5" i="1"/>
  <c r="Q5" i="1"/>
  <c r="D5" i="1"/>
  <c r="R5" i="1"/>
  <c r="X5" i="1"/>
  <c r="T5" i="1"/>
  <c r="P5" i="1"/>
  <c r="W5" i="1"/>
  <c r="S5" i="1"/>
  <c r="O5" i="1"/>
  <c r="AS10" i="1" l="1"/>
  <c r="AS11" i="1"/>
  <c r="AS14" i="1"/>
  <c r="AS15" i="1"/>
  <c r="AS20" i="1"/>
</calcChain>
</file>

<file path=xl/comments1.xml><?xml version="1.0" encoding="utf-8"?>
<comments xmlns="http://schemas.openxmlformats.org/spreadsheetml/2006/main">
  <authors>
    <author>作成者</author>
  </authors>
  <commentList>
    <comment ref="D5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この関数仕様については以下を参照。
→３．個別機能の仕様　総件数算出関数
</t>
        </r>
      </text>
    </comment>
    <comment ref="B7" authorId="0" shapeId="0">
      <text>
        <r>
          <rPr>
            <sz val="9"/>
            <color indexed="81"/>
            <rFont val="ＭＳ Ｐゴシック"/>
            <family val="3"/>
            <charset val="128"/>
          </rPr>
          <t>IT・ST工程のテストケースを作成する場合は、シナリオNoは</t>
        </r>
        <r>
          <rPr>
            <b/>
            <sz val="9"/>
            <color indexed="81"/>
            <rFont val="ＭＳ Ｐゴシック"/>
            <family val="3"/>
            <charset val="128"/>
          </rPr>
          <t>必須</t>
        </r>
        <r>
          <rPr>
            <sz val="9"/>
            <color indexed="81"/>
            <rFont val="ＭＳ Ｐゴシック"/>
            <family val="3"/>
            <charset val="128"/>
          </rPr>
          <t>項目です</t>
        </r>
      </text>
    </comment>
  </commentList>
</comments>
</file>

<file path=xl/sharedStrings.xml><?xml version="1.0" encoding="utf-8"?>
<sst xmlns="http://schemas.openxmlformats.org/spreadsheetml/2006/main" count="444" uniqueCount="233">
  <si>
    <t>総件数</t>
    <rPh sb="0" eb="3">
      <t>ソウケンスウ</t>
    </rPh>
    <phoneticPr fontId="2"/>
  </si>
  <si>
    <t>確認項目</t>
    <rPh sb="0" eb="2">
      <t>カクニン</t>
    </rPh>
    <rPh sb="2" eb="4">
      <t>コウモク</t>
    </rPh>
    <phoneticPr fontId="2"/>
  </si>
  <si>
    <t>前提条件</t>
    <rPh sb="0" eb="2">
      <t>ゼンテイ</t>
    </rPh>
    <rPh sb="2" eb="4">
      <t>ジョウケン</t>
    </rPh>
    <phoneticPr fontId="2"/>
  </si>
  <si>
    <t>不具合番号</t>
    <rPh sb="0" eb="3">
      <t>フグアイ</t>
    </rPh>
    <rPh sb="3" eb="5">
      <t>バンゴウ</t>
    </rPh>
    <phoneticPr fontId="2"/>
  </si>
  <si>
    <t>備考</t>
    <rPh sb="0" eb="2">
      <t>ビコウ</t>
    </rPh>
    <phoneticPr fontId="2"/>
  </si>
  <si>
    <t>追加</t>
    <rPh sb="0" eb="2">
      <t>ツイカ</t>
    </rPh>
    <phoneticPr fontId="2"/>
  </si>
  <si>
    <t>削除</t>
    <rPh sb="0" eb="2">
      <t>サクジョ</t>
    </rPh>
    <phoneticPr fontId="2"/>
  </si>
  <si>
    <t>ヘッダ</t>
    <phoneticPr fontId="2"/>
  </si>
  <si>
    <t>ＰＪ名</t>
    <phoneticPr fontId="2"/>
  </si>
  <si>
    <t>工程</t>
    <rPh sb="0" eb="2">
      <t>コウテイ</t>
    </rPh>
    <phoneticPr fontId="1"/>
  </si>
  <si>
    <t>作成者</t>
    <rPh sb="0" eb="3">
      <t>サクセイシャ</t>
    </rPh>
    <phoneticPr fontId="1"/>
  </si>
  <si>
    <t>作成日</t>
    <phoneticPr fontId="2"/>
  </si>
  <si>
    <t>変更者</t>
    <rPh sb="0" eb="2">
      <t>ヘンコウ</t>
    </rPh>
    <rPh sb="2" eb="3">
      <t>シャ</t>
    </rPh>
    <phoneticPr fontId="1"/>
  </si>
  <si>
    <t>変更日</t>
    <rPh sb="0" eb="2">
      <t>ヘンコウ</t>
    </rPh>
    <rPh sb="2" eb="3">
      <t>ヒ</t>
    </rPh>
    <phoneticPr fontId="2"/>
  </si>
  <si>
    <t>成果物名</t>
    <rPh sb="0" eb="3">
      <t>セイカブツ</t>
    </rPh>
    <rPh sb="3" eb="4">
      <t>メイ</t>
    </rPh>
    <phoneticPr fontId="2"/>
  </si>
  <si>
    <t>確認者</t>
    <rPh sb="0" eb="2">
      <t>カクニン</t>
    </rPh>
    <rPh sb="2" eb="3">
      <t>シャ</t>
    </rPh>
    <phoneticPr fontId="2"/>
  </si>
  <si>
    <t>確認日</t>
    <rPh sb="0" eb="2">
      <t>カクニン</t>
    </rPh>
    <rPh sb="2" eb="3">
      <t>ヒ</t>
    </rPh>
    <phoneticPr fontId="2"/>
  </si>
  <si>
    <t>担当者</t>
    <rPh sb="0" eb="3">
      <t>タントウシャ</t>
    </rPh>
    <phoneticPr fontId="2"/>
  </si>
  <si>
    <t>END_LINE</t>
    <phoneticPr fontId="2"/>
  </si>
  <si>
    <t>実施
トライ数</t>
    <rPh sb="0" eb="2">
      <t>ジッシ</t>
    </rPh>
    <rPh sb="6" eb="7">
      <t>スウ</t>
    </rPh>
    <phoneticPr fontId="2"/>
  </si>
  <si>
    <t>ケース実施／１次検証</t>
    <rPh sb="3" eb="5">
      <t>ジッシ</t>
    </rPh>
    <rPh sb="7" eb="8">
      <t>ジ</t>
    </rPh>
    <rPh sb="8" eb="10">
      <t>ケンショウ</t>
    </rPh>
    <phoneticPr fontId="2"/>
  </si>
  <si>
    <t>２次検証</t>
    <rPh sb="1" eb="2">
      <t>ジ</t>
    </rPh>
    <rPh sb="2" eb="4">
      <t>ケンショウ</t>
    </rPh>
    <phoneticPr fontId="2"/>
  </si>
  <si>
    <t>合格条件</t>
    <rPh sb="0" eb="2">
      <t>ゴウカク</t>
    </rPh>
    <rPh sb="2" eb="4">
      <t>ジョウケン</t>
    </rPh>
    <phoneticPr fontId="2"/>
  </si>
  <si>
    <t>確認方法(画面、帳票等）</t>
    <rPh sb="0" eb="2">
      <t>カクニン</t>
    </rPh>
    <rPh sb="2" eb="4">
      <t>ホウホウ</t>
    </rPh>
    <rPh sb="5" eb="7">
      <t>ガメン</t>
    </rPh>
    <rPh sb="8" eb="10">
      <t>チョウヒョウ</t>
    </rPh>
    <rPh sb="10" eb="11">
      <t>トウ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</si>
  <si>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</si>
  <si>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</si>
  <si>
    <t>当初予定</t>
    <rPh sb="0" eb="2">
      <t>トウショ</t>
    </rPh>
    <rPh sb="2" eb="4">
      <t>ヨテイ</t>
    </rPh>
    <phoneticPr fontId="2"/>
  </si>
  <si>
    <t>２次検証</t>
    <phoneticPr fontId="1"/>
  </si>
  <si>
    <t>■管理用■</t>
    <rPh sb="1" eb="4">
      <t>カンリヨウ</t>
    </rPh>
    <phoneticPr fontId="1"/>
  </si>
  <si>
    <t>３次検証</t>
    <rPh sb="1" eb="2">
      <t>ジ</t>
    </rPh>
    <rPh sb="2" eb="4">
      <t>ケンショウ</t>
    </rPh>
    <phoneticPr fontId="2"/>
  </si>
  <si>
    <t>↓別ファイルのマクロを使用し入力↓</t>
  </si>
  <si>
    <t>主管サブシステム</t>
    <rPh sb="0" eb="2">
      <t>シュカン</t>
    </rPh>
    <phoneticPr fontId="2"/>
  </si>
  <si>
    <t>テストケースNo.</t>
    <phoneticPr fontId="2"/>
  </si>
  <si>
    <t>サブシステム名</t>
    <rPh sb="6" eb="7">
      <t>メイ</t>
    </rPh>
    <phoneticPr fontId="1"/>
  </si>
  <si>
    <t>プロジェクト
関係者外秘</t>
    <phoneticPr fontId="2"/>
  </si>
  <si>
    <t>総件数</t>
    <rPh sb="0" eb="3">
      <t>ソウケンスウ</t>
    </rPh>
    <phoneticPr fontId="1"/>
  </si>
  <si>
    <t>機能ＩＤ</t>
    <rPh sb="0" eb="2">
      <t>キノウ</t>
    </rPh>
    <phoneticPr fontId="2"/>
  </si>
  <si>
    <t>予備</t>
    <rPh sb="0" eb="2">
      <t>ヨビ</t>
    </rPh>
    <phoneticPr fontId="2"/>
  </si>
  <si>
    <t>テスト分類</t>
    <rPh sb="3" eb="5">
      <t>ブンルイ</t>
    </rPh>
    <phoneticPr fontId="2"/>
  </si>
  <si>
    <t>テスト分類</t>
    <rPh sb="3" eb="5">
      <t>ブンルイ</t>
    </rPh>
    <phoneticPr fontId="1"/>
  </si>
  <si>
    <t>01_自動テスト</t>
  </si>
  <si>
    <t>02_単体テスト</t>
  </si>
  <si>
    <t>03_サブシステム間結合テスト</t>
  </si>
  <si>
    <t>04_サブシステム内結合テスト</t>
  </si>
  <si>
    <t>05_業務シナリオテスト</t>
  </si>
  <si>
    <t>06_運用テスト</t>
  </si>
  <si>
    <t>07_性能テスト</t>
  </si>
  <si>
    <t>08_外部接続テスト</t>
  </si>
  <si>
    <t>09_新旧比較テスト</t>
  </si>
  <si>
    <t>10_基盤テスト</t>
  </si>
  <si>
    <t>テスト分類</t>
    <rPh sb="3" eb="5">
      <t>ブンルイ</t>
    </rPh>
    <phoneticPr fontId="3"/>
  </si>
  <si>
    <t>シート名</t>
    <rPh sb="3" eb="4">
      <t>メイ</t>
    </rPh>
    <phoneticPr fontId="1"/>
  </si>
  <si>
    <t>（先頭文字列一致）</t>
    <phoneticPr fontId="1"/>
  </si>
  <si>
    <t>一次検証予定日</t>
    <rPh sb="0" eb="2">
      <t>イチジ</t>
    </rPh>
    <rPh sb="2" eb="4">
      <t>ケンショウ</t>
    </rPh>
    <rPh sb="4" eb="7">
      <t>ヨテイビ</t>
    </rPh>
    <phoneticPr fontId="1"/>
  </si>
  <si>
    <t>一次検証実績日</t>
    <rPh sb="0" eb="2">
      <t>イチジ</t>
    </rPh>
    <rPh sb="2" eb="4">
      <t>ケンショウ</t>
    </rPh>
    <rPh sb="4" eb="6">
      <t>ジッセキ</t>
    </rPh>
    <rPh sb="6" eb="7">
      <t>ビ</t>
    </rPh>
    <phoneticPr fontId="1"/>
  </si>
  <si>
    <t>二次検証予定日</t>
    <rPh sb="0" eb="1">
      <t>ニ</t>
    </rPh>
    <rPh sb="1" eb="2">
      <t>ジ</t>
    </rPh>
    <rPh sb="2" eb="4">
      <t>ケンショウ</t>
    </rPh>
    <rPh sb="4" eb="7">
      <t>ヨテイビ</t>
    </rPh>
    <phoneticPr fontId="1"/>
  </si>
  <si>
    <t>二次検証実績日</t>
    <rPh sb="2" eb="4">
      <t>ケンショウ</t>
    </rPh>
    <rPh sb="4" eb="6">
      <t>ジッセキ</t>
    </rPh>
    <rPh sb="6" eb="7">
      <t>ビ</t>
    </rPh>
    <phoneticPr fontId="1"/>
  </si>
  <si>
    <t>三次検証予定日</t>
    <rPh sb="0" eb="1">
      <t>サン</t>
    </rPh>
    <rPh sb="1" eb="2">
      <t>ジ</t>
    </rPh>
    <rPh sb="2" eb="4">
      <t>ケンショウ</t>
    </rPh>
    <rPh sb="4" eb="7">
      <t>ヨテイビ</t>
    </rPh>
    <phoneticPr fontId="1"/>
  </si>
  <si>
    <t>三次検証実績日</t>
    <rPh sb="2" eb="4">
      <t>ケンショウ</t>
    </rPh>
    <rPh sb="4" eb="6">
      <t>ジッセキ</t>
    </rPh>
    <rPh sb="6" eb="7">
      <t>ビ</t>
    </rPh>
    <phoneticPr fontId="1"/>
  </si>
  <si>
    <t>追加日</t>
    <rPh sb="0" eb="2">
      <t>ツイカ</t>
    </rPh>
    <rPh sb="2" eb="3">
      <t>ビ</t>
    </rPh>
    <phoneticPr fontId="1"/>
  </si>
  <si>
    <t>削除日</t>
    <rPh sb="0" eb="2">
      <t>サクジョ</t>
    </rPh>
    <rPh sb="2" eb="3">
      <t>ビ</t>
    </rPh>
    <phoneticPr fontId="1"/>
  </si>
  <si>
    <t>項目名</t>
    <rPh sb="0" eb="2">
      <t>コウモク</t>
    </rPh>
    <rPh sb="2" eb="3">
      <t>メイ</t>
    </rPh>
    <phoneticPr fontId="1"/>
  </si>
  <si>
    <t>列情報</t>
    <rPh sb="0" eb="1">
      <t>レツ</t>
    </rPh>
    <rPh sb="1" eb="3">
      <t>ジョウホウ</t>
    </rPh>
    <phoneticPr fontId="1"/>
  </si>
  <si>
    <t>テストケース</t>
    <phoneticPr fontId="1"/>
  </si>
  <si>
    <t>明細開始行</t>
    <rPh sb="0" eb="2">
      <t>メイサイ</t>
    </rPh>
    <rPh sb="2" eb="4">
      <t>カイシ</t>
    </rPh>
    <rPh sb="4" eb="5">
      <t>ギョウ</t>
    </rPh>
    <phoneticPr fontId="1"/>
  </si>
  <si>
    <t>最終行判断</t>
    <rPh sb="0" eb="3">
      <t>サイシュウギョウ</t>
    </rPh>
    <rPh sb="3" eb="5">
      <t>ハンダン</t>
    </rPh>
    <phoneticPr fontId="1"/>
  </si>
  <si>
    <t>C</t>
    <phoneticPr fontId="1"/>
  </si>
  <si>
    <t>D</t>
    <phoneticPr fontId="1"/>
  </si>
  <si>
    <t>O</t>
    <phoneticPr fontId="1"/>
  </si>
  <si>
    <t>P</t>
    <phoneticPr fontId="1"/>
  </si>
  <si>
    <t>R</t>
    <phoneticPr fontId="1"/>
  </si>
  <si>
    <t>S</t>
    <phoneticPr fontId="1"/>
  </si>
  <si>
    <t>U</t>
    <phoneticPr fontId="1"/>
  </si>
  <si>
    <t>V</t>
    <phoneticPr fontId="1"/>
  </si>
  <si>
    <t>Z</t>
    <phoneticPr fontId="1"/>
  </si>
  <si>
    <t>AA</t>
    <phoneticPr fontId="1"/>
  </si>
  <si>
    <t>テストケースNo.</t>
    <phoneticPr fontId="1"/>
  </si>
  <si>
    <t>セル情報</t>
    <rPh sb="2" eb="4">
      <t>ジョウホウ</t>
    </rPh>
    <phoneticPr fontId="1"/>
  </si>
  <si>
    <t>エラー内容</t>
    <rPh sb="3" eb="5">
      <t>ナイヨウ</t>
    </rPh>
    <phoneticPr fontId="1"/>
  </si>
  <si>
    <t>シナリオNo.</t>
    <phoneticPr fontId="1"/>
  </si>
  <si>
    <t>シート情報</t>
    <rPh sb="3" eb="5">
      <t>ジョウホウ</t>
    </rPh>
    <phoneticPr fontId="1"/>
  </si>
  <si>
    <t>セル値</t>
    <rPh sb="2" eb="3">
      <t>アタイ</t>
    </rPh>
    <phoneticPr fontId="1"/>
  </si>
  <si>
    <t>ケース実施/１次検証</t>
    <rPh sb="3" eb="5">
      <t>ジッシ</t>
    </rPh>
    <phoneticPr fontId="1"/>
  </si>
  <si>
    <t>３次検証</t>
    <phoneticPr fontId="1"/>
  </si>
  <si>
    <t>総件数行</t>
    <rPh sb="0" eb="1">
      <t>ソウ</t>
    </rPh>
    <rPh sb="1" eb="3">
      <t>ケンスウ</t>
    </rPh>
    <rPh sb="3" eb="4">
      <t>ギョウ</t>
    </rPh>
    <phoneticPr fontId="1"/>
  </si>
  <si>
    <t>明細終了行</t>
    <rPh sb="0" eb="2">
      <t>メイサイ</t>
    </rPh>
    <rPh sb="2" eb="4">
      <t>シュウリョウ</t>
    </rPh>
    <rPh sb="4" eb="5">
      <t>ギョウ</t>
    </rPh>
    <phoneticPr fontId="1"/>
  </si>
  <si>
    <t>総件数算出用Work</t>
    <rPh sb="0" eb="1">
      <t>ソウ</t>
    </rPh>
    <rPh sb="1" eb="3">
      <t>ケンスウ</t>
    </rPh>
    <rPh sb="3" eb="5">
      <t>サンシュツ</t>
    </rPh>
    <rPh sb="5" eb="6">
      <t>ヨウ</t>
    </rPh>
    <phoneticPr fontId="1"/>
  </si>
  <si>
    <t>Booking Brain</t>
    <phoneticPr fontId="1"/>
  </si>
  <si>
    <t>スコアリング</t>
    <phoneticPr fontId="2"/>
  </si>
  <si>
    <t>単体テスト</t>
    <rPh sb="0" eb="2">
      <t>タンタイ</t>
    </rPh>
    <phoneticPr fontId="2"/>
  </si>
  <si>
    <t>1</t>
    <phoneticPr fontId="1"/>
  </si>
  <si>
    <t>2</t>
    <phoneticPr fontId="1"/>
  </si>
  <si>
    <t>3</t>
    <phoneticPr fontId="1"/>
  </si>
  <si>
    <t>4</t>
    <phoneticPr fontId="1"/>
  </si>
  <si>
    <t>張</t>
    <rPh sb="0" eb="1">
      <t>チョウ</t>
    </rPh>
    <phoneticPr fontId="1"/>
  </si>
  <si>
    <t>entry_date</t>
  </si>
  <si>
    <t>施設マスタトリガー_単体テストケース</t>
    <rPh sb="10" eb="12">
      <t>タンタイ</t>
    </rPh>
    <phoneticPr fontId="2"/>
  </si>
  <si>
    <t>m_facility登録</t>
    <rPh sb="10" eb="12">
      <t>トウロク</t>
    </rPh>
    <phoneticPr fontId="1"/>
  </si>
  <si>
    <t>トリガーが正常に実行</t>
    <rPh sb="5" eb="7">
      <t>セイジョウ</t>
    </rPh>
    <rPh sb="8" eb="10">
      <t>ジッコウ</t>
    </rPh>
    <phoneticPr fontId="1"/>
  </si>
  <si>
    <t>登録されたデータの正しさを検証</t>
    <rPh sb="0" eb="2">
      <t>トウロク</t>
    </rPh>
    <rPh sb="9" eb="10">
      <t>タダ</t>
    </rPh>
    <rPh sb="13" eb="15">
      <t>ケンショウ</t>
    </rPh>
    <phoneticPr fontId="1"/>
  </si>
  <si>
    <t>登録されたデータの正しさを検証</t>
    <phoneticPr fontId="1"/>
  </si>
  <si>
    <t>登録されたデータの正しさを検証</t>
    <phoneticPr fontId="1"/>
  </si>
  <si>
    <t>rt_bb_flag='0'</t>
    <phoneticPr fontId="1"/>
  </si>
  <si>
    <t>rt_bb_flag='1'</t>
    <phoneticPr fontId="1"/>
  </si>
  <si>
    <t>rt_bb_flag='2'</t>
    <phoneticPr fontId="1"/>
  </si>
  <si>
    <t>rt_bb_flag='9'</t>
    <phoneticPr fontId="1"/>
  </si>
  <si>
    <t>施設マスタ履歴</t>
    <rPh sb="0" eb="2">
      <t>シセツ</t>
    </rPh>
    <rPh sb="5" eb="7">
      <t>リレキ</t>
    </rPh>
    <phoneticPr fontId="1"/>
  </si>
  <si>
    <t>Insert文</t>
    <rPh sb="6" eb="7">
      <t>ブン</t>
    </rPh>
    <phoneticPr fontId="1"/>
  </si>
  <si>
    <t>登録しない</t>
    <rPh sb="0" eb="2">
      <t>トウロク</t>
    </rPh>
    <phoneticPr fontId="1"/>
  </si>
  <si>
    <t>"01"新規契約として登録する</t>
    <rPh sb="4" eb="6">
      <t>シンキ</t>
    </rPh>
    <rPh sb="6" eb="8">
      <t>ケイヤク</t>
    </rPh>
    <rPh sb="11" eb="13">
      <t>トウロク</t>
    </rPh>
    <phoneticPr fontId="1"/>
  </si>
  <si>
    <t>error</t>
    <phoneticPr fontId="1"/>
  </si>
  <si>
    <t>登録しない</t>
    <phoneticPr fontId="1"/>
  </si>
  <si>
    <t>m_facility登録(error)</t>
    <rPh sb="10" eb="12">
      <t>トウロク</t>
    </rPh>
    <phoneticPr fontId="1"/>
  </si>
  <si>
    <t>トリガーが実行しない</t>
    <rPh sb="5" eb="7">
      <t>ジッコウ</t>
    </rPh>
    <phoneticPr fontId="1"/>
  </si>
  <si>
    <t>m_facility更新(error)</t>
    <rPh sb="10" eb="12">
      <t>コウシン</t>
    </rPh>
    <phoneticPr fontId="1"/>
  </si>
  <si>
    <r>
      <t>t_facility_status_histに予想通りのデータが新規登録される。
登録しないパターンは登録されない。シート「</t>
    </r>
    <r>
      <rPr>
        <b/>
        <sz val="9"/>
        <color rgb="FF000000"/>
        <rFont val="メイリオ"/>
        <family val="3"/>
        <charset val="128"/>
      </rPr>
      <t>S1.Insert</t>
    </r>
    <r>
      <rPr>
        <sz val="9"/>
        <color rgb="FF000000"/>
        <rFont val="メイリオ"/>
        <family val="3"/>
        <charset val="128"/>
      </rPr>
      <t>」を参照</t>
    </r>
    <rPh sb="23" eb="25">
      <t>ヨソウ</t>
    </rPh>
    <rPh sb="25" eb="26">
      <t>ドオ</t>
    </rPh>
    <rPh sb="32" eb="34">
      <t>シンキ</t>
    </rPh>
    <rPh sb="34" eb="36">
      <t>トウロク</t>
    </rPh>
    <rPh sb="51" eb="53">
      <t>トウロク</t>
    </rPh>
    <rPh sb="73" eb="75">
      <t>サンショウ</t>
    </rPh>
    <phoneticPr fontId="1"/>
  </si>
  <si>
    <r>
      <t>t_facility_status_histに予想通りのデータが新規登録される。
登録しないパターンは登録されない。シート「</t>
    </r>
    <r>
      <rPr>
        <b/>
        <sz val="9"/>
        <color rgb="FF000000"/>
        <rFont val="メイリオ"/>
        <family val="3"/>
        <charset val="128"/>
      </rPr>
      <t>S2.Update1</t>
    </r>
    <r>
      <rPr>
        <sz val="9"/>
        <color rgb="FF000000"/>
        <rFont val="メイリオ"/>
        <family val="3"/>
        <charset val="128"/>
      </rPr>
      <t>」を参照</t>
    </r>
    <rPh sb="23" eb="25">
      <t>ヨソウ</t>
    </rPh>
    <rPh sb="25" eb="26">
      <t>ドオ</t>
    </rPh>
    <rPh sb="32" eb="34">
      <t>シンキ</t>
    </rPh>
    <rPh sb="34" eb="36">
      <t>トウロク</t>
    </rPh>
    <rPh sb="51" eb="53">
      <t>トウロク</t>
    </rPh>
    <phoneticPr fontId="1"/>
  </si>
  <si>
    <r>
      <t>t_facility_status_histに予想通りのデータが新規登録される。
登録しないパターンは登録されない。シート「</t>
    </r>
    <r>
      <rPr>
        <b/>
        <sz val="9"/>
        <color rgb="FF000000"/>
        <rFont val="メイリオ"/>
        <family val="3"/>
        <charset val="128"/>
      </rPr>
      <t>S2.Update2</t>
    </r>
    <r>
      <rPr>
        <sz val="9"/>
        <color rgb="FF000000"/>
        <rFont val="メイリオ"/>
        <family val="3"/>
        <charset val="128"/>
      </rPr>
      <t>」を参照</t>
    </r>
    <rPh sb="23" eb="25">
      <t>ヨソウ</t>
    </rPh>
    <rPh sb="25" eb="26">
      <t>ドオ</t>
    </rPh>
    <rPh sb="32" eb="34">
      <t>シンキ</t>
    </rPh>
    <rPh sb="34" eb="36">
      <t>トウロク</t>
    </rPh>
    <rPh sb="51" eb="53">
      <t>トウロク</t>
    </rPh>
    <phoneticPr fontId="1"/>
  </si>
  <si>
    <t>1．登録検証</t>
    <rPh sb="2" eb="4">
      <t>トウロク</t>
    </rPh>
    <rPh sb="4" eb="6">
      <t>ケンショウ</t>
    </rPh>
    <phoneticPr fontId="1"/>
  </si>
  <si>
    <t>insert into booking_brain.m_facility(facility_name,post_code1,post_code2,prefecture_code,address1,address2,address3,contract_family_name,contract_given_name,contract_telephone_number,contract_fax_number,contract_mail_address,rt_facility_no,rt_bb_flag,rt_bb_start_date,rt_bb_end_date,jalan_facility_no,jalan_bb_flag,jalan_bb_start_date,jalan_bb_end_date,ikyu_facility_no,ikyu_bb_flag,ikyu_bb_start_date,ikyu_bb_end_date,his_facility_no,his_bb_flag,his_bb_start_date,his_bb_end_date,entry_date,entry_staff_code,update_date,update_staff_code) values ('テスト施設５','135','00615555','13','江東区豊洲',' 2-2-1','豊洲ベイサイドクロスタワー','テスト','五郎','05017024015',null,'test5@tis.co.jp','108189','1','2021-06-01',null,null,'0',null,null,null,'0',null,null,null,'0',null,null,'2021-06-24 13:19:47','bbadmin',null,null);</t>
    <phoneticPr fontId="1"/>
  </si>
  <si>
    <t>insert into booking_brain.m_facility(facility_name,post_code1,post_code2,prefecture_code,address1,address2,address3,contract_family_name,contract_given_name,contract_telephone_number,contract_fax_number,contract_mail_address,rt_facility_no,rt_bb_flag,rt_bb_start_date,rt_bb_end_date,jalan_facility_no,jalan_bb_flag,jalan_bb_start_date,jalan_bb_end_date,ikyu_facility_no,ikyu_bb_flag,ikyu_bb_start_date,ikyu_bb_end_date,his_facility_no,his_bb_flag,his_bb_start_date,his_bb_end_date,entry_date,entry_staff_code,update_date,update_staff_code) values ('テスト施設４','135','0061','13','江東区豊洲',' 2-2-1','豊洲ベイサイドクロスタワー','テスト','四郎','05017024015',null,'test4@tis.co.jp','107851','9','2021-06-01',null,null,'0',null,null,null,'0',null,null,null,'0',null,null,'2021-06-24 13:19:47','bbadmin',null,null);</t>
    <phoneticPr fontId="1"/>
  </si>
  <si>
    <t>insert into booking_brain.m_facility(facility_name,post_code1,post_code2,prefecture_code,address1,address2,address3,contract_family_name,contract_given_name,contract_telephone_number,contract_fax_number,contract_mail_address,rt_facility_no,rt_bb_flag,rt_bb_start_date,rt_bb_end_date,jalan_facility_no,jalan_bb_flag,jalan_bb_start_date,jalan_bb_end_date,ikyu_facility_no,ikyu_bb_flag,ikyu_bb_start_date,ikyu_bb_end_date,his_facility_no,his_bb_flag,his_bb_start_date,his_bb_end_date,entry_date,entry_staff_code,update_date,update_staff_code) values ('テスト施設３','135','0061','13','江東区豊洲',' 2-2-1','豊洲ベイサイドクロスタワー','テスト','三郎','05017024015',null,'test3@tis.co.jp','10645','2','2021-06-01',null,null,'0',null,null,null,'0',null,null,null,'0',null,null,'2021-06-24 13:19:47','bbadmin',null,null);</t>
    <phoneticPr fontId="1"/>
  </si>
  <si>
    <t>insert into booking_brain.m_facility(facility_name,post_code1,post_code2,prefecture_code,address1,address2,address3,contract_family_name,contract_given_name,contract_telephone_number,contract_fax_number,contract_mail_address,rt_facility_no,rt_bb_flag,rt_bb_start_date,rt_bb_end_date,jalan_facility_no,jalan_bb_flag,jalan_bb_start_date,jalan_bb_end_date,ikyu_facility_no,ikyu_bb_flag,ikyu_bb_start_date,ikyu_bb_end_date,his_facility_no,his_bb_flag,his_bb_start_date,his_bb_end_date,entry_date,entry_staff_code,update_date,update_staff_code) values ('テスト施設２','135','0061','13','江東区豊洲',' 2-2-1','豊洲ベイサイドクロスタワー','テスト','二郎','05017024015',null,'test2@tis.co.jp','106111','1','2021-06-01',null,null,'0',null,null,null,'0',null,null,null,'0',null,null,'2021-06-24 13:19:47','bbadmin',null,null);</t>
    <phoneticPr fontId="1"/>
  </si>
  <si>
    <t>insert into booking_brain.m_facility(facility_name,post_code1,post_code2,prefecture_code,address1,address2,address3,contract_family_name,contract_given_name,contract_telephone_number,contract_fax_number,contract_mail_address,rt_facility_no,rt_bb_flag,rt_bb_start_date,rt_bb_end_date,jalan_facility_no,jalan_bb_flag,jalan_bb_start_date,jalan_bb_end_date,ikyu_facility_no,ikyu_bb_flag,ikyu_bb_start_date,ikyu_bb_end_date,his_facility_no,his_bb_flag,his_bb_start_date,his_bb_end_date,entry_date,entry_staff_code,update_date,update_staff_code) values ('テスト施設１','135','0061','13','江東区豊洲',' 2-2-1','豊洲ベイサイドクロスタワー','テスト','一郎','05017024015',null,'test1@tis.co.jp','1017','0','2021-06-01',null,null,'0',null,null,null,'0',null,null,null,'0',null,null,'2021-06-24 13:19:47','bbadmin',null,null);</t>
    <phoneticPr fontId="1"/>
  </si>
  <si>
    <t>No</t>
    <phoneticPr fontId="1"/>
  </si>
  <si>
    <t>楽天BB利用フラグ</t>
    <rPh sb="0" eb="2">
      <t>ラクテン</t>
    </rPh>
    <rPh sb="4" eb="6">
      <t>リヨウ</t>
    </rPh>
    <phoneticPr fontId="1"/>
  </si>
  <si>
    <t>Update文</t>
    <rPh sb="6" eb="7">
      <t>ブン</t>
    </rPh>
    <phoneticPr fontId="1"/>
  </si>
  <si>
    <t>5</t>
    <phoneticPr fontId="1"/>
  </si>
  <si>
    <t>m_facility更新（一件づつ）</t>
    <rPh sb="10" eb="12">
      <t>コウシン</t>
    </rPh>
    <rPh sb="13" eb="15">
      <t>イッケン</t>
    </rPh>
    <phoneticPr fontId="1"/>
  </si>
  <si>
    <t>m_facility更新（複数件同時）</t>
    <rPh sb="10" eb="12">
      <t>コウシン</t>
    </rPh>
    <rPh sb="13" eb="15">
      <t>フクスウ</t>
    </rPh>
    <rPh sb="15" eb="16">
      <t>ケン</t>
    </rPh>
    <rPh sb="16" eb="18">
      <t>ドウジ</t>
    </rPh>
    <phoneticPr fontId="1"/>
  </si>
  <si>
    <t>更新パターン</t>
    <rPh sb="0" eb="2">
      <t>コウシン</t>
    </rPh>
    <phoneticPr fontId="1"/>
  </si>
  <si>
    <t>rt_bb_flag：'0'→'1'</t>
    <phoneticPr fontId="1"/>
  </si>
  <si>
    <t>rt_bb_flag：'1'→'0'</t>
    <phoneticPr fontId="1"/>
  </si>
  <si>
    <t>rt_bb_flag：'0'→'2'</t>
    <phoneticPr fontId="1"/>
  </si>
  <si>
    <t>rt_bb_flag：'2'→'0'</t>
    <phoneticPr fontId="1"/>
  </si>
  <si>
    <t>rt_bb_flag：'2'→'1'</t>
    <phoneticPr fontId="1"/>
  </si>
  <si>
    <t>rt_bb_flag：'0'→'9'</t>
    <phoneticPr fontId="1"/>
  </si>
  <si>
    <t>rt_bb_flag：'9'→'0'</t>
    <phoneticPr fontId="1"/>
  </si>
  <si>
    <t>rt_bb_flag：'1'→'9'</t>
    <phoneticPr fontId="1"/>
  </si>
  <si>
    <t>rt_bb_flag：'9'→'1'</t>
    <phoneticPr fontId="1"/>
  </si>
  <si>
    <t>"04"再契約として登録する</t>
    <rPh sb="4" eb="5">
      <t>サイ</t>
    </rPh>
    <rPh sb="5" eb="7">
      <t>ケイヤク</t>
    </rPh>
    <rPh sb="10" eb="12">
      <t>トウロク</t>
    </rPh>
    <phoneticPr fontId="1"/>
  </si>
  <si>
    <t>"02"解約として登録する</t>
    <rPh sb="4" eb="6">
      <t>カイヤク</t>
    </rPh>
    <rPh sb="9" eb="11">
      <t>トウロク</t>
    </rPh>
    <phoneticPr fontId="1"/>
  </si>
  <si>
    <t>"03"強制解約として登録する</t>
    <rPh sb="4" eb="6">
      <t>キョウセイ</t>
    </rPh>
    <rPh sb="6" eb="8">
      <t>カイヤク</t>
    </rPh>
    <rPh sb="11" eb="13">
      <t>トウロク</t>
    </rPh>
    <phoneticPr fontId="1"/>
  </si>
  <si>
    <t>チェック結果</t>
    <rPh sb="4" eb="6">
      <t>ケッカ</t>
    </rPh>
    <phoneticPr fontId="1"/>
  </si>
  <si>
    <t>update m_facility set rt_bb_flag = '1' where bb_facility_no = '1';</t>
    <phoneticPr fontId="1"/>
  </si>
  <si>
    <t>update m_facility set rt_bb_flag = '0' where bb_facility_no = '2';</t>
    <phoneticPr fontId="1"/>
  </si>
  <si>
    <t>update m_facility set rt_bb_flag = '2' where bb_facility_no = '3';</t>
    <phoneticPr fontId="1"/>
  </si>
  <si>
    <t>update m_facility set rt_bb_flag = '0' where bb_facility_no = '4';</t>
    <phoneticPr fontId="1"/>
  </si>
  <si>
    <t>update m_facility set rt_bb_flag = '1' where bb_facility_no = '5';</t>
    <phoneticPr fontId="1"/>
  </si>
  <si>
    <t>update m_facility set rt_bb_flag = '9' where bb_facility_no = '6';</t>
    <phoneticPr fontId="1"/>
  </si>
  <si>
    <t>update m_facility set rt_bb_flag = '0' where bb_facility_no = '7';</t>
    <phoneticPr fontId="1"/>
  </si>
  <si>
    <t>update m_facility set rt_bb_flag = '9' where bb_facility_no = '8';</t>
    <phoneticPr fontId="1"/>
  </si>
  <si>
    <t>update m_facility set rt_bb_flag = '1' where bb_facility_no = '9';</t>
    <phoneticPr fontId="1"/>
  </si>
  <si>
    <t>update m_facility set rt_bb_flag = 'AAA' where bb_facility_no = '10';</t>
    <phoneticPr fontId="1"/>
  </si>
  <si>
    <t>update m_facility set rt_bb_flag = '0' where bb_facility_no in( '1','2','3','4','5','6','7','8','9','10');</t>
    <phoneticPr fontId="1"/>
  </si>
  <si>
    <t>update m_facility set rt_bb_flag = '2' where bb_facility_no in( '1','2','3','4','5','6','7','8','9','10');</t>
    <phoneticPr fontId="1"/>
  </si>
  <si>
    <t>bb_facility_no</t>
  </si>
  <si>
    <t>facility_name</t>
  </si>
  <si>
    <t>post_code1</t>
  </si>
  <si>
    <t>post_code2</t>
  </si>
  <si>
    <t>prefecture_code</t>
  </si>
  <si>
    <t>address1</t>
  </si>
  <si>
    <t>address2</t>
  </si>
  <si>
    <t>address3</t>
  </si>
  <si>
    <t>contract_family_name</t>
  </si>
  <si>
    <t>contract_given_name</t>
  </si>
  <si>
    <t>contract_telephone_number</t>
  </si>
  <si>
    <t>contract_fax_number</t>
  </si>
  <si>
    <t>contract_mail_address</t>
  </si>
  <si>
    <t>rt_facility_no</t>
  </si>
  <si>
    <t>rt_bb_flag</t>
  </si>
  <si>
    <t>rt_bb_start_date</t>
  </si>
  <si>
    <t>rt_bb_end_date</t>
  </si>
  <si>
    <t>jalan_facility_no</t>
  </si>
  <si>
    <t>jalan_bb_flag</t>
  </si>
  <si>
    <t>jalan_bb_start_date</t>
  </si>
  <si>
    <t>jalan_bb_end_date</t>
  </si>
  <si>
    <t>ikyu_facility_no</t>
  </si>
  <si>
    <t>ikyu_bb_flag</t>
  </si>
  <si>
    <t>ikyu_bb_start_date</t>
  </si>
  <si>
    <t>ikyu_bb_end_date</t>
  </si>
  <si>
    <t>his_facility_no</t>
  </si>
  <si>
    <t>his_bb_flag</t>
  </si>
  <si>
    <t>his_bb_start_date</t>
  </si>
  <si>
    <t>his_bb_end_date</t>
  </si>
  <si>
    <t>entry_staff_code</t>
  </si>
  <si>
    <t>update_date</t>
  </si>
  <si>
    <t>update_staff_code</t>
  </si>
  <si>
    <t>テスト施設１</t>
  </si>
  <si>
    <t>江東区豊洲</t>
  </si>
  <si>
    <t xml:space="preserve"> 2-2-1</t>
  </si>
  <si>
    <t>豊洲ベイサイドクロスタワー</t>
  </si>
  <si>
    <t>テスト</t>
  </si>
  <si>
    <t>一郎</t>
  </si>
  <si>
    <t>test1@tis.co.jp</t>
  </si>
  <si>
    <t>bbadmin</t>
  </si>
  <si>
    <t>テスト施設２</t>
  </si>
  <si>
    <t>二郎</t>
  </si>
  <si>
    <t>test2@tis.co.jp</t>
  </si>
  <si>
    <t>テスト施設３</t>
  </si>
  <si>
    <t>三郎</t>
  </si>
  <si>
    <t>test3@tis.co.jp</t>
  </si>
  <si>
    <t>テスト施設４</t>
  </si>
  <si>
    <t>四郎</t>
  </si>
  <si>
    <t>test4@tis.co.jp</t>
  </si>
  <si>
    <t>テスト施設５</t>
  </si>
  <si>
    <t>五郎</t>
  </si>
  <si>
    <t>test5@tis.co.jp</t>
  </si>
  <si>
    <t>テスト施設６</t>
  </si>
  <si>
    <t>六郎</t>
  </si>
  <si>
    <t>test6@tis.co.jp</t>
  </si>
  <si>
    <t>テスト施設７</t>
  </si>
  <si>
    <t>七郎</t>
  </si>
  <si>
    <t>test7@tis.co.jp</t>
  </si>
  <si>
    <t>テスト施設８</t>
  </si>
  <si>
    <t>八郎</t>
  </si>
  <si>
    <t>test8@tis.co.jp</t>
  </si>
  <si>
    <t>テスト施設９</t>
  </si>
  <si>
    <t>九郎</t>
  </si>
  <si>
    <t>test9@tis.co.jp</t>
  </si>
  <si>
    <t>テスト施設１０</t>
  </si>
  <si>
    <t>十郎</t>
  </si>
  <si>
    <t>test10@tis.co.jp</t>
  </si>
  <si>
    <t>1．更新検証</t>
    <rPh sb="2" eb="4">
      <t>コウシン</t>
    </rPh>
    <rPh sb="4" eb="6">
      <t>ケンショウ</t>
    </rPh>
    <phoneticPr fontId="1"/>
  </si>
  <si>
    <t>update m_facility set rt_bb_flag = '1' where bb_facility_no in( '1','2','3','4','5','6','7','8','9','10');</t>
    <phoneticPr fontId="1"/>
  </si>
  <si>
    <t>更新対象</t>
    <rPh sb="0" eb="2">
      <t>コウシン</t>
    </rPh>
    <rPh sb="2" eb="4">
      <t>タイショウ</t>
    </rPh>
    <phoneticPr fontId="1"/>
  </si>
  <si>
    <t>非更新対象</t>
    <rPh sb="0" eb="1">
      <t>ヒ</t>
    </rPh>
    <rPh sb="1" eb="3">
      <t>コウシン</t>
    </rPh>
    <rPh sb="3" eb="5">
      <t>タイショウ</t>
    </rPh>
    <phoneticPr fontId="1"/>
  </si>
  <si>
    <t>error</t>
    <phoneticPr fontId="1"/>
  </si>
  <si>
    <t>update m_facility set facility_name = 'AAA' where bb_facility_no = '10';</t>
    <phoneticPr fontId="1"/>
  </si>
  <si>
    <t>facility_name:'テスト施設１０'→'AAA'</t>
    <phoneticPr fontId="1"/>
  </si>
  <si>
    <t>全部"04"再契約として登録する</t>
    <rPh sb="0" eb="1">
      <t>ゼン</t>
    </rPh>
    <rPh sb="1" eb="2">
      <t>ブ</t>
    </rPh>
    <rPh sb="6" eb="7">
      <t>サイ</t>
    </rPh>
    <rPh sb="7" eb="9">
      <t>ケイヤク</t>
    </rPh>
    <rPh sb="12" eb="14">
      <t>トウロク</t>
    </rPh>
    <phoneticPr fontId="1"/>
  </si>
  <si>
    <t>全部"02"解約として登録する</t>
    <rPh sb="6" eb="8">
      <t>カイヤク</t>
    </rPh>
    <rPh sb="11" eb="13">
      <t>トウロク</t>
    </rPh>
    <phoneticPr fontId="1"/>
  </si>
  <si>
    <t>全部"03"強制解約として登録する</t>
    <rPh sb="6" eb="8">
      <t>キョウセイ</t>
    </rPh>
    <rPh sb="8" eb="10">
      <t>カイヤク</t>
    </rPh>
    <rPh sb="13" eb="15">
      <t>トウロク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</si>
</sst>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¥&quot;#,##0;[Red]&quot;¥&quot;\-#,##0"/>
    <numFmt numFmtId="8" formatCode="&quot;¥&quot;#,##0.00;[Red]&quot;¥&quot;\-#,##0.00"/>
    <numFmt numFmtId="176" formatCode="mm/dd"/>
    <numFmt numFmtId="177" formatCode="0_);[Red]\(0\)"/>
  </numFmts>
  <fonts count="4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明朝"/>
      <family val="1"/>
      <charset val="128"/>
    </font>
    <font>
      <u/>
      <sz val="10"/>
      <color indexed="36"/>
      <name val="Arial"/>
      <family val="2"/>
    </font>
    <font>
      <u/>
      <sz val="8"/>
      <color indexed="12"/>
      <name val="Times New Roman"/>
      <family val="1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2"/>
      <color indexed="8"/>
      <name val="メイリオ"/>
      <family val="3"/>
      <charset val="128"/>
    </font>
    <font>
      <sz val="9"/>
      <color indexed="8"/>
      <name val="メイリオ"/>
      <family val="3"/>
      <charset val="128"/>
    </font>
    <font>
      <sz val="11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  <font>
      <sz val="9"/>
      <name val="メイリオ"/>
      <family val="3"/>
      <charset val="128"/>
    </font>
    <font>
      <sz val="12"/>
      <name val="メイリオ"/>
      <family val="3"/>
      <charset val="128"/>
    </font>
    <font>
      <b/>
      <u/>
      <sz val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sz val="6"/>
      <color indexed="8"/>
      <name val="メイリオ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メイリオ"/>
      <family val="3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9"/>
      <color theme="1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sz val="10"/>
      <color theme="1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11"/>
      <color rgb="FF000000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9"/>
      <color rgb="FF00000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double">
        <color rgb="FFFF0000"/>
      </right>
      <top/>
      <bottom/>
      <diagonal/>
    </border>
    <border>
      <left/>
      <right/>
      <top/>
      <bottom style="double">
        <color rgb="FFFF0000"/>
      </bottom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</borders>
  <cellStyleXfs count="50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40" fontId="7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8" fontId="7" fillId="0" borderId="0" applyFont="0" applyFill="0" applyBorder="0" applyAlignment="0" applyProtection="0">
      <alignment vertical="center"/>
    </xf>
    <xf numFmtId="6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44" applyNumberFormat="0" applyFill="0" applyAlignment="0" applyProtection="0">
      <alignment vertical="center"/>
    </xf>
    <xf numFmtId="0" fontId="26" fillId="0" borderId="45" applyNumberFormat="0" applyFill="0" applyAlignment="0" applyProtection="0">
      <alignment vertical="center"/>
    </xf>
    <xf numFmtId="0" fontId="27" fillId="0" borderId="46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1" fillId="10" borderId="47" applyNumberFormat="0" applyAlignment="0" applyProtection="0">
      <alignment vertical="center"/>
    </xf>
    <xf numFmtId="0" fontId="32" fillId="11" borderId="48" applyNumberFormat="0" applyAlignment="0" applyProtection="0">
      <alignment vertical="center"/>
    </xf>
    <xf numFmtId="0" fontId="33" fillId="11" borderId="47" applyNumberFormat="0" applyAlignment="0" applyProtection="0">
      <alignment vertical="center"/>
    </xf>
    <xf numFmtId="0" fontId="34" fillId="0" borderId="49" applyNumberFormat="0" applyFill="0" applyAlignment="0" applyProtection="0">
      <alignment vertical="center"/>
    </xf>
    <xf numFmtId="0" fontId="35" fillId="12" borderId="50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7" fillId="13" borderId="51" applyNumberFormat="0" applyFon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52" applyNumberFormat="0" applyFill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</cellStyleXfs>
  <cellXfs count="187">
    <xf numFmtId="0" fontId="0" fillId="0" borderId="0" xfId="0">
      <alignment vertical="center"/>
    </xf>
    <xf numFmtId="0" fontId="17" fillId="0" borderId="0" xfId="0" applyFont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0" fillId="2" borderId="20" xfId="0" applyNumberFormat="1" applyFont="1" applyFill="1" applyBorder="1" applyAlignment="1">
      <alignment vertical="center"/>
    </xf>
    <xf numFmtId="0" fontId="10" fillId="0" borderId="2" xfId="0" applyNumberFormat="1" applyFont="1" applyFill="1" applyBorder="1" applyAlignment="1">
      <alignment vertical="center"/>
    </xf>
    <xf numFmtId="0" fontId="10" fillId="3" borderId="20" xfId="0" applyNumberFormat="1" applyFont="1" applyFill="1" applyBorder="1" applyAlignment="1">
      <alignment vertical="center"/>
    </xf>
    <xf numFmtId="0" fontId="13" fillId="0" borderId="20" xfId="0" applyFont="1" applyFill="1" applyBorder="1" applyAlignment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14" fontId="13" fillId="0" borderId="20" xfId="0" applyNumberFormat="1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0" fontId="10" fillId="3" borderId="21" xfId="0" applyNumberFormat="1" applyFont="1" applyFill="1" applyBorder="1" applyAlignment="1">
      <alignment vertical="center"/>
    </xf>
    <xf numFmtId="0" fontId="18" fillId="0" borderId="0" xfId="0" applyFont="1">
      <alignment vertical="center"/>
    </xf>
    <xf numFmtId="0" fontId="13" fillId="0" borderId="35" xfId="0" applyFont="1" applyBorder="1">
      <alignment vertical="center"/>
    </xf>
    <xf numFmtId="0" fontId="13" fillId="0" borderId="36" xfId="0" applyFont="1" applyBorder="1">
      <alignment vertical="center"/>
    </xf>
    <xf numFmtId="2" fontId="16" fillId="0" borderId="0" xfId="0" applyNumberFormat="1" applyFont="1">
      <alignment vertical="center"/>
    </xf>
    <xf numFmtId="0" fontId="23" fillId="0" borderId="0" xfId="0" applyFont="1">
      <alignment vertical="center"/>
    </xf>
    <xf numFmtId="0" fontId="40" fillId="38" borderId="0" xfId="0" applyFont="1" applyFill="1" applyAlignment="1">
      <alignment horizontal="center"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0" fontId="42" fillId="0" borderId="0" xfId="0" applyFont="1" applyAlignment="1">
      <alignment horizontal="left" vertical="center" indent="1"/>
    </xf>
    <xf numFmtId="14" fontId="18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right" vertical="center" indent="1"/>
    </xf>
    <xf numFmtId="0" fontId="43" fillId="0" borderId="41" xfId="0" applyFont="1" applyBorder="1">
      <alignment vertical="center"/>
    </xf>
    <xf numFmtId="0" fontId="43" fillId="0" borderId="0" xfId="0" applyFont="1">
      <alignment vertical="center"/>
    </xf>
    <xf numFmtId="0" fontId="43" fillId="0" borderId="0" xfId="0" applyFont="1" applyBorder="1">
      <alignment vertical="center"/>
    </xf>
    <xf numFmtId="0" fontId="43" fillId="0" borderId="41" xfId="0" applyFont="1" applyBorder="1" applyAlignment="1">
      <alignment horizontal="center" vertical="center"/>
    </xf>
    <xf numFmtId="0" fontId="44" fillId="0" borderId="20" xfId="0" applyFont="1" applyBorder="1" applyAlignment="1">
      <alignment horizontal="center" vertical="center"/>
    </xf>
    <xf numFmtId="0" fontId="43" fillId="0" borderId="53" xfId="0" applyFont="1" applyBorder="1" applyAlignment="1">
      <alignment horizontal="right" vertical="center" indent="1"/>
    </xf>
    <xf numFmtId="0" fontId="43" fillId="0" borderId="53" xfId="0" applyFont="1" applyBorder="1" applyAlignment="1">
      <alignment horizontal="center" vertical="center"/>
    </xf>
    <xf numFmtId="0" fontId="43" fillId="0" borderId="24" xfId="0" applyFont="1" applyBorder="1" applyAlignment="1">
      <alignment horizontal="right" vertical="center" indent="1"/>
    </xf>
    <xf numFmtId="0" fontId="43" fillId="0" borderId="24" xfId="0" applyFont="1" applyBorder="1" applyAlignment="1">
      <alignment horizontal="center" vertical="center"/>
    </xf>
    <xf numFmtId="0" fontId="43" fillId="0" borderId="54" xfId="0" applyFont="1" applyBorder="1" applyAlignment="1">
      <alignment horizontal="right" vertical="center" indent="1"/>
    </xf>
    <xf numFmtId="0" fontId="43" fillId="0" borderId="54" xfId="0" applyFont="1" applyBorder="1" applyAlignment="1">
      <alignment horizontal="center" vertical="center"/>
    </xf>
    <xf numFmtId="0" fontId="8" fillId="0" borderId="0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/>
    <xf numFmtId="0" fontId="13" fillId="0" borderId="0" xfId="0" applyNumberFormat="1" applyFont="1" applyFill="1" applyBorder="1" applyAlignment="1" applyProtection="1"/>
    <xf numFmtId="0" fontId="10" fillId="0" borderId="0" xfId="0" applyNumberFormat="1" applyFont="1" applyFill="1" applyBorder="1" applyAlignment="1" applyProtection="1"/>
    <xf numFmtId="0" fontId="10" fillId="0" borderId="0" xfId="0" applyFont="1" applyFill="1" applyBorder="1" applyAlignment="1" applyProtection="1"/>
    <xf numFmtId="0" fontId="11" fillId="0" borderId="0" xfId="0" applyNumberFormat="1" applyFont="1" applyFill="1" applyBorder="1" applyAlignment="1" applyProtection="1">
      <alignment horizontal="right"/>
    </xf>
    <xf numFmtId="0" fontId="9" fillId="0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Alignment="1" applyProtection="1"/>
    <xf numFmtId="0" fontId="9" fillId="0" borderId="0" xfId="0" applyFont="1" applyAlignment="1" applyProtection="1"/>
    <xf numFmtId="49" fontId="15" fillId="0" borderId="0" xfId="0" applyNumberFormat="1" applyFont="1" applyAlignment="1" applyProtection="1"/>
    <xf numFmtId="49" fontId="9" fillId="0" borderId="0" xfId="0" applyNumberFormat="1" applyFont="1" applyAlignment="1" applyProtection="1"/>
    <xf numFmtId="0" fontId="9" fillId="0" borderId="0" xfId="0" applyNumberFormat="1" applyFont="1" applyAlignment="1" applyProtection="1"/>
    <xf numFmtId="0" fontId="9" fillId="0" borderId="0" xfId="0" applyNumberFormat="1" applyFont="1" applyAlignment="1" applyProtection="1">
      <alignment vertical="center"/>
    </xf>
    <xf numFmtId="0" fontId="12" fillId="4" borderId="27" xfId="0" applyNumberFormat="1" applyFont="1" applyFill="1" applyBorder="1" applyAlignment="1" applyProtection="1"/>
    <xf numFmtId="0" fontId="15" fillId="4" borderId="0" xfId="0" applyNumberFormat="1" applyFont="1" applyFill="1" applyBorder="1" applyAlignment="1" applyProtection="1"/>
    <xf numFmtId="0" fontId="12" fillId="4" borderId="0" xfId="0" applyNumberFormat="1" applyFont="1" applyFill="1" applyBorder="1" applyAlignment="1" applyProtection="1">
      <alignment horizontal="right"/>
    </xf>
    <xf numFmtId="0" fontId="9" fillId="4" borderId="0" xfId="0" applyNumberFormat="1" applyFont="1" applyFill="1" applyAlignment="1" applyProtection="1"/>
    <xf numFmtId="0" fontId="12" fillId="4" borderId="6" xfId="0" applyNumberFormat="1" applyFont="1" applyFill="1" applyBorder="1" applyAlignment="1" applyProtection="1"/>
    <xf numFmtId="0" fontId="9" fillId="0" borderId="0" xfId="0" applyNumberFormat="1" applyFont="1" applyBorder="1" applyAlignment="1" applyProtection="1">
      <alignment horizontal="center" vertical="center"/>
    </xf>
    <xf numFmtId="0" fontId="9" fillId="0" borderId="0" xfId="0" applyNumberFormat="1" applyFont="1" applyBorder="1" applyAlignment="1" applyProtection="1"/>
    <xf numFmtId="0" fontId="12" fillId="4" borderId="27" xfId="0" applyFont="1" applyFill="1" applyBorder="1" applyAlignment="1" applyProtection="1"/>
    <xf numFmtId="49" fontId="15" fillId="4" borderId="0" xfId="0" applyNumberFormat="1" applyFont="1" applyFill="1" applyBorder="1" applyAlignment="1" applyProtection="1"/>
    <xf numFmtId="0" fontId="12" fillId="4" borderId="0" xfId="0" applyFont="1" applyFill="1" applyBorder="1" applyAlignment="1" applyProtection="1"/>
    <xf numFmtId="0" fontId="12" fillId="4" borderId="6" xfId="0" applyFont="1" applyFill="1" applyBorder="1" applyAlignment="1" applyProtection="1"/>
    <xf numFmtId="0" fontId="9" fillId="0" borderId="16" xfId="0" applyNumberFormat="1" applyFont="1" applyBorder="1" applyAlignment="1" applyProtection="1"/>
    <xf numFmtId="0" fontId="13" fillId="0" borderId="0" xfId="0" applyFont="1" applyFill="1" applyBorder="1" applyAlignment="1" applyProtection="1">
      <alignment horizontal="center" vertical="center" shrinkToFit="1"/>
    </xf>
    <xf numFmtId="0" fontId="15" fillId="5" borderId="5" xfId="0" applyFont="1" applyFill="1" applyBorder="1" applyAlignment="1" applyProtection="1">
      <alignment horizontal="center" vertical="center" shrinkToFit="1"/>
    </xf>
    <xf numFmtId="0" fontId="15" fillId="5" borderId="4" xfId="0" applyFont="1" applyFill="1" applyBorder="1" applyAlignment="1" applyProtection="1">
      <alignment horizontal="center" vertical="center" shrinkToFit="1"/>
    </xf>
    <xf numFmtId="0" fontId="9" fillId="0" borderId="31" xfId="0" applyNumberFormat="1" applyFont="1" applyBorder="1" applyAlignment="1" applyProtection="1">
      <alignment horizontal="center" vertical="center" shrinkToFit="1"/>
    </xf>
    <xf numFmtId="0" fontId="21" fillId="0" borderId="32" xfId="0" applyNumberFormat="1" applyFont="1" applyBorder="1" applyAlignment="1" applyProtection="1">
      <alignment horizontal="center" vertical="center"/>
    </xf>
    <xf numFmtId="0" fontId="21" fillId="0" borderId="33" xfId="0" applyNumberFormat="1" applyFont="1" applyBorder="1" applyAlignment="1" applyProtection="1">
      <alignment horizontal="center" vertical="center"/>
    </xf>
    <xf numFmtId="0" fontId="9" fillId="0" borderId="41" xfId="0" applyNumberFormat="1" applyFont="1" applyBorder="1" applyAlignment="1" applyProtection="1">
      <alignment vertical="center"/>
    </xf>
    <xf numFmtId="0" fontId="15" fillId="5" borderId="17" xfId="0" applyFont="1" applyFill="1" applyBorder="1" applyAlignment="1" applyProtection="1">
      <alignment shrinkToFit="1"/>
    </xf>
    <xf numFmtId="49" fontId="15" fillId="5" borderId="15" xfId="0" applyNumberFormat="1" applyFont="1" applyFill="1" applyBorder="1" applyAlignment="1" applyProtection="1"/>
    <xf numFmtId="49" fontId="15" fillId="5" borderId="16" xfId="0" applyNumberFormat="1" applyFont="1" applyFill="1" applyBorder="1" applyAlignment="1" applyProtection="1"/>
    <xf numFmtId="0" fontId="15" fillId="5" borderId="17" xfId="0" applyNumberFormat="1" applyFont="1" applyFill="1" applyBorder="1" applyAlignment="1" applyProtection="1"/>
    <xf numFmtId="0" fontId="15" fillId="5" borderId="16" xfId="0" applyNumberFormat="1" applyFont="1" applyFill="1" applyBorder="1" applyAlignment="1" applyProtection="1"/>
    <xf numFmtId="0" fontId="15" fillId="5" borderId="18" xfId="0" applyNumberFormat="1" applyFont="1" applyFill="1" applyBorder="1" applyAlignment="1" applyProtection="1">
      <alignment wrapText="1"/>
    </xf>
    <xf numFmtId="0" fontId="15" fillId="5" borderId="17" xfId="0" applyNumberFormat="1" applyFont="1" applyFill="1" applyBorder="1" applyAlignment="1" applyProtection="1">
      <alignment wrapText="1"/>
    </xf>
    <xf numFmtId="176" fontId="15" fillId="5" borderId="17" xfId="0" applyNumberFormat="1" applyFont="1" applyFill="1" applyBorder="1" applyAlignment="1" applyProtection="1">
      <alignment shrinkToFit="1"/>
    </xf>
    <xf numFmtId="0" fontId="15" fillId="5" borderId="17" xfId="0" applyFont="1" applyFill="1" applyBorder="1" applyAlignment="1" applyProtection="1">
      <alignment horizontal="center" shrinkToFit="1"/>
    </xf>
    <xf numFmtId="176" fontId="15" fillId="5" borderId="18" xfId="0" applyNumberFormat="1" applyFont="1" applyFill="1" applyBorder="1" applyAlignment="1" applyProtection="1">
      <alignment shrinkToFit="1"/>
    </xf>
    <xf numFmtId="0" fontId="15" fillId="5" borderId="18" xfId="0" applyFont="1" applyFill="1" applyBorder="1" applyAlignment="1" applyProtection="1">
      <alignment shrinkToFit="1"/>
    </xf>
    <xf numFmtId="0" fontId="15" fillId="5" borderId="18" xfId="0" applyNumberFormat="1" applyFont="1" applyFill="1" applyBorder="1" applyAlignment="1" applyProtection="1"/>
    <xf numFmtId="0" fontId="15" fillId="5" borderId="19" xfId="0" applyNumberFormat="1" applyFont="1" applyFill="1" applyBorder="1" applyAlignment="1" applyProtection="1"/>
    <xf numFmtId="0" fontId="9" fillId="0" borderId="12" xfId="0" applyNumberFormat="1" applyFont="1" applyBorder="1" applyAlignment="1" applyProtection="1"/>
    <xf numFmtId="0" fontId="9" fillId="0" borderId="28" xfId="0" applyNumberFormat="1" applyFont="1" applyBorder="1" applyAlignment="1" applyProtection="1"/>
    <xf numFmtId="0" fontId="9" fillId="0" borderId="42" xfId="0" applyNumberFormat="1" applyFont="1" applyBorder="1" applyAlignment="1" applyProtection="1">
      <alignment vertical="center"/>
    </xf>
    <xf numFmtId="0" fontId="16" fillId="0" borderId="0" xfId="0" applyNumberFormat="1" applyFont="1" applyFill="1" applyAlignment="1" applyProtection="1"/>
    <xf numFmtId="0" fontId="15" fillId="0" borderId="0" xfId="0" applyNumberFormat="1" applyFont="1" applyFill="1" applyAlignment="1" applyProtection="1"/>
    <xf numFmtId="0" fontId="15" fillId="0" borderId="0" xfId="0" applyNumberFormat="1" applyFont="1" applyFill="1" applyBorder="1" applyAlignment="1" applyProtection="1"/>
    <xf numFmtId="49" fontId="19" fillId="6" borderId="23" xfId="0" applyNumberFormat="1" applyFont="1" applyFill="1" applyBorder="1" applyAlignment="1" applyProtection="1">
      <alignment vertical="top" shrinkToFit="1"/>
    </xf>
    <xf numFmtId="49" fontId="19" fillId="6" borderId="25" xfId="0" applyNumberFormat="1" applyFont="1" applyFill="1" applyBorder="1" applyAlignment="1" applyProtection="1">
      <alignment vertical="top"/>
    </xf>
    <xf numFmtId="49" fontId="19" fillId="6" borderId="26" xfId="0" applyNumberFormat="1" applyFont="1" applyFill="1" applyBorder="1" applyAlignment="1" applyProtection="1">
      <alignment vertical="top" shrinkToFit="1"/>
    </xf>
    <xf numFmtId="49" fontId="19" fillId="0" borderId="23" xfId="0" applyNumberFormat="1" applyFont="1" applyFill="1" applyBorder="1" applyAlignment="1" applyProtection="1">
      <alignment vertical="top" shrinkToFit="1"/>
    </xf>
    <xf numFmtId="176" fontId="19" fillId="0" borderId="23" xfId="0" applyNumberFormat="1" applyFont="1" applyFill="1" applyBorder="1" applyAlignment="1" applyProtection="1">
      <alignment horizontal="center" vertical="top" shrinkToFit="1"/>
    </xf>
    <xf numFmtId="176" fontId="19" fillId="0" borderId="24" xfId="0" applyNumberFormat="1" applyFont="1" applyFill="1" applyBorder="1" applyAlignment="1" applyProtection="1">
      <alignment horizontal="center" vertical="top" shrinkToFit="1"/>
    </xf>
    <xf numFmtId="176" fontId="19" fillId="0" borderId="22" xfId="0" applyNumberFormat="1" applyFont="1" applyFill="1" applyBorder="1" applyAlignment="1" applyProtection="1">
      <alignment horizontal="center" vertical="top" shrinkToFit="1"/>
    </xf>
    <xf numFmtId="0" fontId="15" fillId="0" borderId="43" xfId="0" applyNumberFormat="1" applyFont="1" applyFill="1" applyBorder="1" applyAlignment="1" applyProtection="1">
      <alignment vertical="center"/>
    </xf>
    <xf numFmtId="0" fontId="15" fillId="0" borderId="0" xfId="0" applyFont="1" applyFill="1" applyAlignment="1" applyProtection="1"/>
    <xf numFmtId="49" fontId="15" fillId="0" borderId="0" xfId="0" applyNumberFormat="1" applyFont="1" applyFill="1" applyAlignment="1" applyProtection="1"/>
    <xf numFmtId="177" fontId="15" fillId="0" borderId="0" xfId="0" applyNumberFormat="1" applyFont="1" applyFill="1" applyAlignment="1" applyProtection="1"/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8" fillId="0" borderId="0" xfId="0" applyNumberFormat="1" applyFont="1" applyFill="1" applyAlignment="1" applyProtection="1"/>
    <xf numFmtId="0" fontId="9" fillId="0" borderId="0" xfId="0" applyFont="1" applyFill="1" applyAlignment="1" applyProtection="1"/>
    <xf numFmtId="49" fontId="9" fillId="0" borderId="0" xfId="0" applyNumberFormat="1" applyFont="1" applyFill="1" applyAlignment="1" applyProtection="1"/>
    <xf numFmtId="0" fontId="9" fillId="0" borderId="0" xfId="0" applyNumberFormat="1" applyFont="1" applyFill="1" applyAlignment="1" applyProtection="1"/>
    <xf numFmtId="177" fontId="9" fillId="0" borderId="0" xfId="0" applyNumberFormat="1" applyFont="1" applyFill="1" applyAlignment="1" applyProtection="1"/>
    <xf numFmtId="0" fontId="9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vertical="center"/>
    </xf>
    <xf numFmtId="0" fontId="15" fillId="0" borderId="5" xfId="0" applyNumberFormat="1" applyFont="1" applyFill="1" applyBorder="1" applyAlignment="1" applyProtection="1">
      <alignment vertical="top"/>
    </xf>
    <xf numFmtId="0" fontId="19" fillId="6" borderId="5" xfId="0" applyNumberFormat="1" applyFont="1" applyFill="1" applyBorder="1" applyAlignment="1" applyProtection="1">
      <alignment vertical="top"/>
    </xf>
    <xf numFmtId="0" fontId="19" fillId="6" borderId="55" xfId="0" applyNumberFormat="1" applyFont="1" applyFill="1" applyBorder="1" applyAlignment="1" applyProtection="1">
      <alignment vertical="top"/>
    </xf>
    <xf numFmtId="0" fontId="19" fillId="6" borderId="26" xfId="0" applyNumberFormat="1" applyFont="1" applyFill="1" applyBorder="1" applyAlignment="1" applyProtection="1">
      <alignment vertical="top" wrapText="1"/>
    </xf>
    <xf numFmtId="0" fontId="19" fillId="0" borderId="23" xfId="0" applyNumberFormat="1" applyFont="1" applyFill="1" applyBorder="1" applyAlignment="1" applyProtection="1">
      <alignment vertical="top" wrapText="1"/>
    </xf>
    <xf numFmtId="0" fontId="19" fillId="0" borderId="23" xfId="0" applyNumberFormat="1" applyFont="1" applyFill="1" applyBorder="1" applyAlignment="1" applyProtection="1">
      <alignment vertical="top" shrinkToFit="1"/>
    </xf>
    <xf numFmtId="0" fontId="19" fillId="0" borderId="23" xfId="0" applyNumberFormat="1" applyFont="1" applyFill="1" applyBorder="1" applyAlignment="1" applyProtection="1">
      <alignment vertical="top"/>
    </xf>
    <xf numFmtId="0" fontId="19" fillId="0" borderId="23" xfId="0" applyNumberFormat="1" applyFont="1" applyFill="1" applyBorder="1" applyAlignment="1" applyProtection="1">
      <alignment horizontal="center" vertical="top" shrinkToFit="1"/>
    </xf>
    <xf numFmtId="0" fontId="19" fillId="0" borderId="23" xfId="0" applyNumberFormat="1" applyFont="1" applyFill="1" applyBorder="1" applyAlignment="1" applyProtection="1">
      <alignment horizontal="center" vertical="top"/>
    </xf>
    <xf numFmtId="0" fontId="15" fillId="0" borderId="29" xfId="0" applyNumberFormat="1" applyFont="1" applyFill="1" applyBorder="1" applyAlignment="1" applyProtection="1">
      <alignment vertical="center"/>
    </xf>
    <xf numFmtId="0" fontId="15" fillId="0" borderId="20" xfId="0" applyNumberFormat="1" applyFont="1" applyFill="1" applyBorder="1" applyAlignment="1" applyProtection="1">
      <alignment vertical="center"/>
    </xf>
    <xf numFmtId="0" fontId="15" fillId="0" borderId="30" xfId="0" applyNumberFormat="1" applyFont="1" applyFill="1" applyBorder="1" applyAlignment="1" applyProtection="1">
      <alignment vertical="center"/>
    </xf>
    <xf numFmtId="0" fontId="15" fillId="0" borderId="0" xfId="0" applyNumberFormat="1" applyFont="1" applyFill="1" applyBorder="1" applyAlignment="1" applyProtection="1">
      <alignment vertical="center"/>
    </xf>
    <xf numFmtId="0" fontId="19" fillId="0" borderId="24" xfId="0" applyNumberFormat="1" applyFont="1" applyFill="1" applyBorder="1" applyAlignment="1" applyProtection="1">
      <alignment vertical="top" wrapText="1"/>
    </xf>
    <xf numFmtId="0" fontId="13" fillId="0" borderId="0" xfId="0" applyFont="1" applyFill="1" applyBorder="1" applyAlignment="1" applyProtection="1">
      <alignment vertical="center"/>
    </xf>
    <xf numFmtId="0" fontId="9" fillId="39" borderId="56" xfId="0" applyNumberFormat="1" applyFont="1" applyFill="1" applyBorder="1" applyAlignment="1" applyProtection="1">
      <alignment vertical="center"/>
    </xf>
    <xf numFmtId="0" fontId="9" fillId="39" borderId="57" xfId="0" applyNumberFormat="1" applyFont="1" applyFill="1" applyBorder="1" applyAlignment="1" applyProtection="1">
      <alignment vertical="center"/>
    </xf>
    <xf numFmtId="0" fontId="9" fillId="0" borderId="31" xfId="0" applyNumberFormat="1" applyFont="1" applyFill="1" applyBorder="1" applyAlignment="1" applyProtection="1">
      <alignment vertical="center"/>
    </xf>
    <xf numFmtId="0" fontId="9" fillId="0" borderId="33" xfId="0" applyNumberFormat="1" applyFont="1" applyFill="1" applyBorder="1" applyAlignment="1" applyProtection="1">
      <alignment vertical="center"/>
    </xf>
    <xf numFmtId="0" fontId="0" fillId="0" borderId="0" xfId="0" applyNumberFormat="1" applyFill="1" applyBorder="1" applyAlignment="1" applyProtection="1"/>
    <xf numFmtId="0" fontId="19" fillId="0" borderId="58" xfId="0" applyNumberFormat="1" applyFont="1" applyFill="1" applyBorder="1" applyAlignment="1" applyProtection="1">
      <alignment vertical="top" wrapText="1"/>
    </xf>
    <xf numFmtId="0" fontId="46" fillId="0" borderId="0" xfId="0" applyFont="1">
      <alignment vertical="center"/>
    </xf>
    <xf numFmtId="0" fontId="0" fillId="0" borderId="20" xfId="0" applyBorder="1">
      <alignment vertical="center"/>
    </xf>
    <xf numFmtId="22" fontId="0" fillId="0" borderId="20" xfId="0" applyNumberFormat="1" applyBorder="1">
      <alignment vertical="center"/>
    </xf>
    <xf numFmtId="14" fontId="0" fillId="0" borderId="20" xfId="0" applyNumberFormat="1" applyBorder="1">
      <alignment vertical="center"/>
    </xf>
    <xf numFmtId="49" fontId="19" fillId="6" borderId="58" xfId="0" applyNumberFormat="1" applyFont="1" applyFill="1" applyBorder="1" applyAlignment="1" applyProtection="1">
      <alignment vertical="top" shrinkToFit="1"/>
    </xf>
    <xf numFmtId="49" fontId="19" fillId="6" borderId="59" xfId="0" applyNumberFormat="1" applyFont="1" applyFill="1" applyBorder="1" applyAlignment="1" applyProtection="1">
      <alignment vertical="top"/>
    </xf>
    <xf numFmtId="49" fontId="19" fillId="6" borderId="60" xfId="0" applyNumberFormat="1" applyFont="1" applyFill="1" applyBorder="1" applyAlignment="1" applyProtection="1">
      <alignment vertical="top" shrinkToFit="1"/>
    </xf>
    <xf numFmtId="0" fontId="19" fillId="6" borderId="61" xfId="0" applyNumberFormat="1" applyFont="1" applyFill="1" applyBorder="1" applyAlignment="1" applyProtection="1">
      <alignment vertical="top"/>
    </xf>
    <xf numFmtId="0" fontId="19" fillId="6" borderId="60" xfId="0" applyNumberFormat="1" applyFont="1" applyFill="1" applyBorder="1" applyAlignment="1" applyProtection="1">
      <alignment vertical="top" wrapText="1"/>
    </xf>
    <xf numFmtId="0" fontId="19" fillId="0" borderId="62" xfId="0" applyNumberFormat="1" applyFont="1" applyFill="1" applyBorder="1" applyAlignment="1" applyProtection="1">
      <alignment vertical="top" wrapText="1"/>
    </xf>
    <xf numFmtId="0" fontId="10" fillId="0" borderId="0" xfId="0" applyNumberFormat="1" applyFont="1" applyFill="1" applyBorder="1" applyAlignment="1" applyProtection="1"/>
    <xf numFmtId="49" fontId="13" fillId="5" borderId="7" xfId="0" applyNumberFormat="1" applyFont="1" applyFill="1" applyBorder="1" applyAlignment="1" applyProtection="1">
      <alignment horizontal="left" vertical="center" wrapText="1"/>
    </xf>
    <xf numFmtId="49" fontId="13" fillId="5" borderId="8" xfId="0" applyNumberFormat="1" applyFont="1" applyFill="1" applyBorder="1" applyAlignment="1" applyProtection="1">
      <alignment horizontal="left" vertical="center"/>
    </xf>
    <xf numFmtId="49" fontId="13" fillId="5" borderId="12" xfId="0" applyNumberFormat="1" applyFont="1" applyFill="1" applyBorder="1" applyAlignment="1" applyProtection="1">
      <alignment horizontal="left" vertical="center"/>
    </xf>
    <xf numFmtId="49" fontId="13" fillId="5" borderId="0" xfId="0" applyNumberFormat="1" applyFont="1" applyFill="1" applyBorder="1" applyAlignment="1" applyProtection="1">
      <alignment horizontal="left" vertical="center"/>
    </xf>
    <xf numFmtId="0" fontId="13" fillId="5" borderId="9" xfId="0" applyNumberFormat="1" applyFont="1" applyFill="1" applyBorder="1" applyAlignment="1" applyProtection="1">
      <alignment horizontal="center" vertical="center"/>
    </xf>
    <xf numFmtId="0" fontId="13" fillId="5" borderId="8" xfId="0" applyNumberFormat="1" applyFont="1" applyFill="1" applyBorder="1" applyAlignment="1" applyProtection="1">
      <alignment horizontal="center" vertical="center"/>
    </xf>
    <xf numFmtId="0" fontId="13" fillId="5" borderId="5" xfId="0" applyNumberFormat="1" applyFont="1" applyFill="1" applyBorder="1" applyAlignment="1" applyProtection="1">
      <alignment horizontal="center" vertical="center"/>
    </xf>
    <xf numFmtId="0" fontId="13" fillId="5" borderId="0" xfId="0" applyNumberFormat="1" applyFont="1" applyFill="1" applyBorder="1" applyAlignment="1" applyProtection="1">
      <alignment horizontal="center" vertical="center"/>
    </xf>
    <xf numFmtId="0" fontId="13" fillId="5" borderId="10" xfId="0" applyNumberFormat="1" applyFont="1" applyFill="1" applyBorder="1" applyAlignment="1" applyProtection="1">
      <alignment horizontal="center" vertical="center" wrapText="1"/>
    </xf>
    <xf numFmtId="0" fontId="13" fillId="5" borderId="13" xfId="0" applyNumberFormat="1" applyFont="1" applyFill="1" applyBorder="1" applyAlignment="1" applyProtection="1">
      <alignment horizontal="center" vertical="center" wrapText="1"/>
    </xf>
    <xf numFmtId="0" fontId="13" fillId="5" borderId="10" xfId="0" applyNumberFormat="1" applyFont="1" applyFill="1" applyBorder="1" applyAlignment="1" applyProtection="1">
      <alignment horizontal="center" vertical="center"/>
    </xf>
    <xf numFmtId="0" fontId="13" fillId="5" borderId="13" xfId="0" applyNumberFormat="1" applyFont="1" applyFill="1" applyBorder="1" applyAlignment="1" applyProtection="1">
      <alignment horizontal="center" vertical="center"/>
    </xf>
    <xf numFmtId="0" fontId="13" fillId="5" borderId="11" xfId="0" applyNumberFormat="1" applyFont="1" applyFill="1" applyBorder="1" applyAlignment="1" applyProtection="1">
      <alignment horizontal="center" vertical="center"/>
    </xf>
    <xf numFmtId="0" fontId="13" fillId="5" borderId="14" xfId="0" applyNumberFormat="1" applyFont="1" applyFill="1" applyBorder="1" applyAlignment="1" applyProtection="1">
      <alignment horizontal="center" vertical="center"/>
    </xf>
    <xf numFmtId="0" fontId="13" fillId="5" borderId="7" xfId="0" applyFont="1" applyFill="1" applyBorder="1" applyAlignment="1" applyProtection="1">
      <alignment horizontal="center" vertical="center" shrinkToFit="1"/>
    </xf>
    <xf numFmtId="0" fontId="13" fillId="5" borderId="8" xfId="0" applyFont="1" applyFill="1" applyBorder="1" applyAlignment="1" applyProtection="1">
      <alignment horizontal="center" vertical="center" shrinkToFit="1"/>
    </xf>
    <xf numFmtId="0" fontId="13" fillId="5" borderId="34" xfId="0" applyFont="1" applyFill="1" applyBorder="1" applyAlignment="1" applyProtection="1">
      <alignment horizontal="center" vertical="center" shrinkToFit="1"/>
    </xf>
    <xf numFmtId="0" fontId="13" fillId="5" borderId="9" xfId="0" applyNumberFormat="1" applyFont="1" applyFill="1" applyBorder="1" applyAlignment="1" applyProtection="1">
      <alignment horizontal="center" vertical="center" wrapText="1"/>
    </xf>
    <xf numFmtId="0" fontId="13" fillId="5" borderId="5" xfId="0" applyNumberFormat="1" applyFont="1" applyFill="1" applyBorder="1" applyAlignment="1" applyProtection="1">
      <alignment horizontal="center" vertical="center" wrapText="1"/>
    </xf>
    <xf numFmtId="0" fontId="14" fillId="5" borderId="10" xfId="0" applyFont="1" applyFill="1" applyBorder="1" applyAlignment="1" applyProtection="1">
      <alignment horizontal="center" vertical="center" wrapText="1" shrinkToFit="1"/>
    </xf>
    <xf numFmtId="0" fontId="14" fillId="5" borderId="13" xfId="0" applyFont="1" applyFill="1" applyBorder="1" applyAlignment="1" applyProtection="1">
      <alignment horizontal="center" vertical="center" shrinkToFit="1"/>
    </xf>
    <xf numFmtId="0" fontId="13" fillId="5" borderId="11" xfId="0" applyFont="1" applyFill="1" applyBorder="1" applyAlignment="1" applyProtection="1">
      <alignment horizontal="center" vertical="center" shrinkToFit="1"/>
    </xf>
    <xf numFmtId="0" fontId="13" fillId="5" borderId="14" xfId="0" applyFont="1" applyFill="1" applyBorder="1" applyAlignment="1" applyProtection="1">
      <alignment horizontal="center" vertical="center" shrinkToFit="1"/>
    </xf>
    <xf numFmtId="0" fontId="13" fillId="5" borderId="10" xfId="0" applyFont="1" applyFill="1" applyBorder="1" applyAlignment="1" applyProtection="1">
      <alignment horizontal="center" vertical="center" shrinkToFit="1"/>
    </xf>
    <xf numFmtId="0" fontId="13" fillId="5" borderId="13" xfId="0" applyFont="1" applyFill="1" applyBorder="1" applyAlignment="1" applyProtection="1">
      <alignment horizontal="center" vertical="center" shrinkToFit="1"/>
    </xf>
    <xf numFmtId="0" fontId="13" fillId="5" borderId="9" xfId="0" applyFont="1" applyFill="1" applyBorder="1" applyAlignment="1" applyProtection="1">
      <alignment horizontal="center" vertical="center" shrinkToFit="1"/>
    </xf>
    <xf numFmtId="0" fontId="14" fillId="5" borderId="9" xfId="0" applyNumberFormat="1" applyFont="1" applyFill="1" applyBorder="1" applyAlignment="1" applyProtection="1">
      <alignment horizontal="center" vertical="center" wrapText="1"/>
    </xf>
    <xf numFmtId="0" fontId="14" fillId="5" borderId="5" xfId="0" applyNumberFormat="1" applyFont="1" applyFill="1" applyBorder="1" applyAlignment="1" applyProtection="1">
      <alignment horizontal="center" vertical="center" wrapText="1"/>
    </xf>
    <xf numFmtId="0" fontId="20" fillId="0" borderId="37" xfId="0" applyFont="1" applyBorder="1" applyAlignment="1">
      <alignment horizontal="center" wrapText="1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46" fillId="0" borderId="20" xfId="0" applyFont="1" applyBorder="1">
      <alignment vertical="center"/>
    </xf>
    <xf numFmtId="0" fontId="46" fillId="0" borderId="20" xfId="0" quotePrefix="1" applyFont="1" applyBorder="1">
      <alignment vertical="center"/>
    </xf>
    <xf numFmtId="0" fontId="46" fillId="42" borderId="20" xfId="0" applyFont="1" applyFill="1" applyBorder="1">
      <alignment vertical="center"/>
    </xf>
    <xf numFmtId="49" fontId="19" fillId="6" borderId="63" xfId="0" applyNumberFormat="1" applyFont="1" applyFill="1" applyBorder="1" applyAlignment="1" applyProtection="1">
      <alignment vertical="top" shrinkToFit="1"/>
    </xf>
    <xf numFmtId="49" fontId="19" fillId="6" borderId="64" xfId="0" applyNumberFormat="1" applyFont="1" applyFill="1" applyBorder="1" applyAlignment="1" applyProtection="1">
      <alignment vertical="top"/>
    </xf>
    <xf numFmtId="49" fontId="19" fillId="6" borderId="65" xfId="0" applyNumberFormat="1" applyFont="1" applyFill="1" applyBorder="1" applyAlignment="1" applyProtection="1">
      <alignment vertical="top" shrinkToFit="1"/>
    </xf>
    <xf numFmtId="0" fontId="15" fillId="0" borderId="66" xfId="0" applyNumberFormat="1" applyFont="1" applyFill="1" applyBorder="1" applyAlignment="1" applyProtection="1">
      <alignment vertical="top"/>
    </xf>
    <xf numFmtId="0" fontId="19" fillId="6" borderId="67" xfId="0" applyNumberFormat="1" applyFont="1" applyFill="1" applyBorder="1" applyAlignment="1" applyProtection="1">
      <alignment vertical="top"/>
    </xf>
    <xf numFmtId="0" fontId="19" fillId="6" borderId="65" xfId="0" applyNumberFormat="1" applyFont="1" applyFill="1" applyBorder="1" applyAlignment="1" applyProtection="1">
      <alignment vertical="top" wrapText="1"/>
    </xf>
    <xf numFmtId="0" fontId="19" fillId="0" borderId="54" xfId="0" applyNumberFormat="1" applyFont="1" applyFill="1" applyBorder="1" applyAlignment="1" applyProtection="1">
      <alignment vertical="top" wrapText="1"/>
    </xf>
    <xf numFmtId="0" fontId="46" fillId="40" borderId="20" xfId="0" applyFont="1" applyFill="1" applyBorder="1">
      <alignment vertical="center"/>
    </xf>
    <xf numFmtId="0" fontId="48" fillId="43" borderId="0" xfId="0" applyFont="1" applyFill="1">
      <alignment vertical="center"/>
    </xf>
    <xf numFmtId="0" fontId="48" fillId="41" borderId="0" xfId="0" applyFont="1" applyFill="1">
      <alignment vertical="center"/>
    </xf>
  </cellXfs>
  <cellStyles count="50">
    <cellStyle name="20% - アクセント 1" xfId="26" builtinId="30" hidden="1"/>
    <cellStyle name="20% - アクセント 2" xfId="30" builtinId="34" hidden="1"/>
    <cellStyle name="20% - アクセント 3" xfId="34" builtinId="38" hidden="1"/>
    <cellStyle name="20% - アクセント 4" xfId="38" builtinId="42" hidden="1"/>
    <cellStyle name="20% - アクセント 5" xfId="42" builtinId="46" hidden="1"/>
    <cellStyle name="20% - アクセント 6" xfId="46" builtinId="50" hidden="1"/>
    <cellStyle name="40% - アクセント 1" xfId="27" builtinId="31" hidden="1"/>
    <cellStyle name="40% - アクセント 2" xfId="31" builtinId="35" hidden="1"/>
    <cellStyle name="40% - アクセント 3" xfId="35" builtinId="39" hidden="1"/>
    <cellStyle name="40% - アクセント 4" xfId="39" builtinId="43" hidden="1"/>
    <cellStyle name="40% - アクセント 5" xfId="43" builtinId="47" hidden="1"/>
    <cellStyle name="40% - アクセント 6" xfId="47" builtinId="51" hidden="1"/>
    <cellStyle name="60% - アクセント 1" xfId="28" builtinId="32" hidden="1"/>
    <cellStyle name="60% - アクセント 2" xfId="32" builtinId="36" hidden="1"/>
    <cellStyle name="60% - アクセント 3" xfId="36" builtinId="40" hidden="1"/>
    <cellStyle name="60% - アクセント 4" xfId="40" builtinId="44" hidden="1"/>
    <cellStyle name="60% - アクセント 5" xfId="44" builtinId="48" hidden="1"/>
    <cellStyle name="60% - アクセント 6" xfId="48" builtinId="52" hidden="1"/>
    <cellStyle name="Followed Hyperlink" xfId="1"/>
    <cellStyle name="Hyperlink" xfId="2"/>
    <cellStyle name="アクセント 1" xfId="25" builtinId="29" hidden="1"/>
    <cellStyle name="アクセント 2" xfId="29" builtinId="33" hidden="1"/>
    <cellStyle name="アクセント 3" xfId="33" builtinId="37" hidden="1"/>
    <cellStyle name="アクセント 4" xfId="37" builtinId="41" hidden="1"/>
    <cellStyle name="アクセント 5" xfId="41" builtinId="45" hidden="1"/>
    <cellStyle name="アクセント 6" xfId="45" builtinId="49" hidden="1"/>
    <cellStyle name="タイトル" xfId="8" builtinId="15" hidden="1"/>
    <cellStyle name="チェック セル" xfId="20" builtinId="23" hidden="1"/>
    <cellStyle name="どちらでもない" xfId="15" builtinId="28" hidden="1"/>
    <cellStyle name="パーセント" xfId="7" builtinId="5" hidden="1"/>
    <cellStyle name="ハイパーリンク" xfId="49" builtinId="8" hidden="1"/>
    <cellStyle name="メモ" xfId="22" builtinId="10" hidden="1"/>
    <cellStyle name="リンク セル" xfId="19" builtinId="24" hidden="1"/>
    <cellStyle name="悪い" xfId="14" builtinId="27" hidden="1"/>
    <cellStyle name="計算" xfId="18" builtinId="22" hidden="1"/>
    <cellStyle name="警告文" xfId="21" builtinId="11" hidden="1"/>
    <cellStyle name="桁区切り" xfId="4" builtinId="6" hidden="1"/>
    <cellStyle name="桁区切り [0.00]" xfId="3" builtinId="3" hidden="1"/>
    <cellStyle name="見出し 1" xfId="9" builtinId="16" hidden="1"/>
    <cellStyle name="見出し 2" xfId="10" builtinId="17" hidden="1"/>
    <cellStyle name="見出し 3" xfId="11" builtinId="18" hidden="1"/>
    <cellStyle name="見出し 4" xfId="12" builtinId="19" hidden="1"/>
    <cellStyle name="集計" xfId="24" builtinId="25" hidden="1"/>
    <cellStyle name="出力" xfId="17" builtinId="21" hidden="1"/>
    <cellStyle name="説明文" xfId="23" builtinId="53" hidden="1"/>
    <cellStyle name="通貨" xfId="6" builtinId="7" hidden="1"/>
    <cellStyle name="通貨 [0.00]" xfId="5" builtinId="4" hidden="1"/>
    <cellStyle name="入力" xfId="16" builtinId="20" hidden="1"/>
    <cellStyle name="標準" xfId="0" builtinId="0"/>
    <cellStyle name="良い" xfId="13" builtinId="26" hidden="1"/>
  </cellStyles>
  <dxfs count="6"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CCFF"/>
      <color rgb="FF66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0</xdr:rowOff>
        </xdr:from>
        <xdr:to>
          <xdr:col>24</xdr:col>
          <xdr:colOff>2353235</xdr:colOff>
          <xdr:row>2</xdr:row>
          <xdr:rowOff>128868</xdr:rowOff>
        </xdr:to>
        <xdr:pic>
          <xdr:nvPicPr>
            <xdr:cNvPr id="3" name="図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ヘッダ!$B$3:$R$6" spid="_x0000_s390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8003" y="0"/>
              <a:ext cx="21145500" cy="6667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3</xdr:row>
          <xdr:rowOff>60960</xdr:rowOff>
        </xdr:from>
        <xdr:to>
          <xdr:col>3</xdr:col>
          <xdr:colOff>304800</xdr:colOff>
          <xdr:row>4</xdr:row>
          <xdr:rowOff>213360</xdr:rowOff>
        </xdr:to>
        <xdr:sp macro="" textlink="">
          <xdr:nvSpPr>
            <xdr:cNvPr id="35099" name="Button 2331" descr="日付チェック" hidden="1">
              <a:extLst>
                <a:ext uri="{63B3BB69-23CF-44E3-9099-C40C66FF867C}">
                  <a14:compatExt spid="_x0000_s35099"/>
                </a:ext>
                <a:ext uri="{FF2B5EF4-FFF2-40B4-BE49-F238E27FC236}">
                  <a16:creationId xmlns:a16="http://schemas.microsoft.com/office/drawing/2014/main" id="{00000000-0008-0000-0000-00001B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日付チェック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718"/>
  <sheetViews>
    <sheetView showGridLines="0" tabSelected="1" view="pageBreakPreview" zoomScaleNormal="100" zoomScaleSheetLayoutView="100" workbookViewId="0">
      <selection activeCell="H17" sqref="H17"/>
    </sheetView>
  </sheetViews>
  <sheetFormatPr defaultColWidth="9" defaultRowHeight="19.2" outlineLevelCol="1" x14ac:dyDescent="0.55000000000000004"/>
  <cols>
    <col min="1" max="1" width="1.21875" style="100" customWidth="1"/>
    <col min="2" max="2" width="13.44140625" style="101" customWidth="1"/>
    <col min="3" max="3" width="1.77734375" style="96" customWidth="1"/>
    <col min="4" max="4" width="17.109375" style="102" customWidth="1"/>
    <col min="5" max="6" width="3.109375" style="103" customWidth="1"/>
    <col min="7" max="7" width="40.44140625" style="103" customWidth="1"/>
    <col min="8" max="8" width="50.88671875" style="103" customWidth="1"/>
    <col min="9" max="9" width="48" style="103" customWidth="1" outlineLevel="1"/>
    <col min="10" max="10" width="29.21875" style="103" hidden="1" customWidth="1"/>
    <col min="11" max="12" width="26" style="103" hidden="1" customWidth="1"/>
    <col min="13" max="13" width="29.21875" style="103" hidden="1" customWidth="1" outlineLevel="1"/>
    <col min="14" max="14" width="5.6640625" style="101" customWidth="1" collapsed="1"/>
    <col min="15" max="22" width="5.6640625" style="101" customWidth="1"/>
    <col min="23" max="23" width="9" style="104" customWidth="1"/>
    <col min="24" max="24" width="9.88671875" style="101" customWidth="1"/>
    <col min="25" max="25" width="39" style="103" customWidth="1"/>
    <col min="26" max="27" width="7.6640625" style="103" customWidth="1"/>
    <col min="28" max="31" width="9" style="103"/>
    <col min="32" max="32" width="4.109375" style="103" customWidth="1"/>
    <col min="33" max="34" width="8.6640625" style="105" customWidth="1"/>
    <col min="35" max="43" width="8.6640625" style="105" hidden="1" customWidth="1" outlineLevel="1"/>
    <col min="44" max="44" width="4.109375" style="103" customWidth="1" collapsed="1"/>
    <col min="45" max="45" width="25.6640625" style="106" customWidth="1"/>
    <col min="46" max="16384" width="9" style="103"/>
  </cols>
  <sheetData>
    <row r="1" spans="1:45" s="37" customFormat="1" ht="21" customHeight="1" x14ac:dyDescent="0.5">
      <c r="A1" s="126"/>
      <c r="C1" s="38"/>
      <c r="D1" s="39"/>
      <c r="E1" s="39"/>
      <c r="F1" s="39"/>
      <c r="G1" s="39"/>
      <c r="I1" s="39"/>
      <c r="J1" s="39"/>
      <c r="K1" s="39"/>
      <c r="L1" s="39"/>
      <c r="M1" s="39"/>
      <c r="S1" s="40"/>
      <c r="T1" s="40"/>
      <c r="U1" s="39"/>
      <c r="V1" s="39"/>
      <c r="W1" s="39"/>
      <c r="X1" s="39"/>
      <c r="AA1" s="41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S1" s="42"/>
    </row>
    <row r="2" spans="1:45" s="37" customFormat="1" ht="21" customHeight="1" x14ac:dyDescent="0.55000000000000004">
      <c r="A2" s="36"/>
      <c r="C2" s="138"/>
      <c r="D2" s="138"/>
      <c r="E2" s="39"/>
      <c r="F2" s="39"/>
      <c r="G2" s="39"/>
      <c r="I2" s="39"/>
      <c r="J2" s="39"/>
      <c r="K2" s="39"/>
      <c r="L2" s="39"/>
      <c r="M2" s="39"/>
      <c r="S2" s="40"/>
      <c r="T2" s="40"/>
      <c r="U2" s="39"/>
      <c r="V2" s="39"/>
      <c r="W2" s="39"/>
      <c r="X2" s="39"/>
      <c r="AH2" s="47"/>
      <c r="AI2" s="42"/>
      <c r="AJ2" s="42"/>
      <c r="AK2" s="42"/>
      <c r="AL2" s="42"/>
      <c r="AM2" s="42"/>
      <c r="AN2" s="42"/>
      <c r="AO2" s="42"/>
      <c r="AP2" s="42"/>
      <c r="AQ2" s="42"/>
      <c r="AS2" s="42"/>
    </row>
    <row r="3" spans="1:45" s="47" customFormat="1" ht="19.8" thickBot="1" x14ac:dyDescent="0.6">
      <c r="A3" s="43"/>
      <c r="B3" s="44"/>
      <c r="C3" s="45"/>
      <c r="D3" s="46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AG3" s="47" t="s">
        <v>86</v>
      </c>
      <c r="AH3" s="42"/>
      <c r="AI3" s="48"/>
      <c r="AJ3" s="48"/>
      <c r="AK3" s="48"/>
      <c r="AL3" s="48"/>
      <c r="AM3" s="48"/>
      <c r="AN3" s="48"/>
      <c r="AO3" s="48"/>
      <c r="AP3" s="48"/>
      <c r="AQ3" s="48"/>
      <c r="AS3" s="48"/>
    </row>
    <row r="4" spans="1:45" s="47" customFormat="1" ht="19.5" customHeight="1" x14ac:dyDescent="0.55000000000000004">
      <c r="A4" s="43"/>
      <c r="B4" s="49"/>
      <c r="C4" s="50"/>
      <c r="D4" s="51" t="s">
        <v>35</v>
      </c>
      <c r="E4" s="52"/>
      <c r="F4" s="52"/>
      <c r="G4" s="52"/>
      <c r="H4" s="53"/>
      <c r="I4" s="53"/>
      <c r="J4" s="53"/>
      <c r="K4" s="53"/>
      <c r="L4" s="53"/>
      <c r="M4" s="53"/>
      <c r="N4" s="53" t="s">
        <v>0</v>
      </c>
      <c r="O4" s="53" t="s">
        <v>0</v>
      </c>
      <c r="P4" s="53" t="s">
        <v>0</v>
      </c>
      <c r="Q4" s="53" t="s">
        <v>0</v>
      </c>
      <c r="R4" s="53" t="s">
        <v>0</v>
      </c>
      <c r="S4" s="53" t="s">
        <v>0</v>
      </c>
      <c r="T4" s="53" t="s">
        <v>0</v>
      </c>
      <c r="U4" s="53" t="s">
        <v>0</v>
      </c>
      <c r="V4" s="53" t="s">
        <v>0</v>
      </c>
      <c r="W4" s="53" t="s">
        <v>0</v>
      </c>
      <c r="X4" s="53" t="s">
        <v>0</v>
      </c>
      <c r="Y4" s="53"/>
      <c r="Z4" s="53" t="s">
        <v>0</v>
      </c>
      <c r="AA4" s="53" t="s">
        <v>0</v>
      </c>
      <c r="AC4" s="54" t="s">
        <v>28</v>
      </c>
      <c r="AD4" s="55"/>
      <c r="AE4" s="55"/>
      <c r="AF4" s="55"/>
      <c r="AG4" s="122" t="s">
        <v>84</v>
      </c>
      <c r="AH4" s="123" t="s">
        <v>85</v>
      </c>
      <c r="AJ4" s="48"/>
      <c r="AK4" s="48"/>
      <c r="AL4" s="48"/>
      <c r="AM4" s="48"/>
      <c r="AN4" s="48"/>
      <c r="AO4" s="48"/>
      <c r="AP4" s="48"/>
      <c r="AQ4" s="48"/>
      <c r="AS4" s="48"/>
    </row>
    <row r="5" spans="1:45" s="47" customFormat="1" ht="19.5" customHeight="1" thickBot="1" x14ac:dyDescent="0.6">
      <c r="A5" s="43"/>
      <c r="B5" s="56"/>
      <c r="C5" s="57"/>
      <c r="D5" s="58">
        <f ca="1">SUMPRODUCT((OFFSET(D5,明細開始行-$AG$5,0,$AH$5-明細開始行+1)&lt;&gt;0)*1)</f>
        <v>0</v>
      </c>
      <c r="E5" s="52"/>
      <c r="F5" s="52"/>
      <c r="G5" s="52"/>
      <c r="H5" s="59"/>
      <c r="I5" s="59"/>
      <c r="J5" s="59"/>
      <c r="K5" s="59"/>
      <c r="L5" s="59"/>
      <c r="M5" s="59"/>
      <c r="N5" s="59">
        <f t="shared" ref="N5:V5" ca="1" si="0">SUMPRODUCT((OFFSET(N5,明細開始行-$AG$5,0,$AH$5-明細開始行+1)&lt;&gt;0)*(OFFSET($AA5,明細開始行-$AG$5,0,$AH$5-明細開始行+1)=0))</f>
        <v>0</v>
      </c>
      <c r="O5" s="59">
        <f t="shared" ca="1" si="0"/>
        <v>0</v>
      </c>
      <c r="P5" s="59">
        <f t="shared" ca="1" si="0"/>
        <v>0</v>
      </c>
      <c r="Q5" s="59">
        <f t="shared" ca="1" si="0"/>
        <v>0</v>
      </c>
      <c r="R5" s="59">
        <f t="shared" ca="1" si="0"/>
        <v>0</v>
      </c>
      <c r="S5" s="59">
        <f t="shared" ca="1" si="0"/>
        <v>0</v>
      </c>
      <c r="T5" s="59">
        <f t="shared" ca="1" si="0"/>
        <v>0</v>
      </c>
      <c r="U5" s="59">
        <f t="shared" ca="1" si="0"/>
        <v>0</v>
      </c>
      <c r="V5" s="59">
        <f t="shared" ca="1" si="0"/>
        <v>0</v>
      </c>
      <c r="W5" s="59">
        <f ca="1">SUMPRODUCT((OFFSET(W5,明細開始行-$AG$5,0,$AH$5-明細開始行+1))*(OFFSET($AA5,明細開始行-$AG$5,0,$AH$5-明細開始行+1)=0))</f>
        <v>0</v>
      </c>
      <c r="X5" s="59">
        <f ca="1">SUMPRODUCT((OFFSET(X5,明細開始行-$AG$5,0,$AH$5-明細開始行+1)&lt;&gt;0)*(OFFSET($AA5,明細開始行-$AG$5,0,$AH$5-明細開始行+1)=0))</f>
        <v>0</v>
      </c>
      <c r="Y5" s="59"/>
      <c r="Z5" s="59">
        <f ca="1">SUMPRODUCT((OFFSET(Z5,明細開始行-$AG$5,0,$AH$5-明細開始行+1)&lt;&gt;0)*(OFFSET($AA5,明細開始行-$AG$5,0,$AH$5-明細開始行+1)=0))</f>
        <v>0</v>
      </c>
      <c r="AA5" s="59">
        <f ca="1">SUMPRODUCT((OFFSET(AA5,明細開始行-$AG$5,0,$AH$5-明細開始行+1)&lt;&gt;0)*1)</f>
        <v>0</v>
      </c>
      <c r="AC5" s="55" t="s">
        <v>30</v>
      </c>
      <c r="AD5" s="55"/>
      <c r="AE5" s="55"/>
      <c r="AF5" s="55"/>
      <c r="AG5" s="124">
        <f>ROW(D5)</f>
        <v>5</v>
      </c>
      <c r="AH5" s="125">
        <f>MATCH("END_LINE",$C:$C,0)-1</f>
        <v>20</v>
      </c>
      <c r="AJ5" s="42"/>
      <c r="AK5" s="42"/>
      <c r="AL5" s="42"/>
      <c r="AM5" s="42"/>
      <c r="AN5" s="42"/>
      <c r="AO5" s="42"/>
      <c r="AP5" s="42"/>
      <c r="AQ5" s="42"/>
      <c r="AS5" s="48"/>
    </row>
    <row r="6" spans="1:45" s="47" customFormat="1" ht="5.25" customHeight="1" thickBot="1" x14ac:dyDescent="0.6">
      <c r="A6" s="43"/>
      <c r="B6" s="44"/>
      <c r="C6" s="45"/>
      <c r="D6" s="46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AC6" s="55"/>
      <c r="AD6" s="55"/>
      <c r="AE6" s="60"/>
      <c r="AF6" s="55"/>
      <c r="AI6" s="42"/>
      <c r="AJ6" s="42"/>
      <c r="AK6" s="42"/>
      <c r="AL6" s="42"/>
      <c r="AM6" s="42"/>
      <c r="AN6" s="42"/>
      <c r="AO6" s="42"/>
      <c r="AP6" s="42"/>
      <c r="AQ6" s="42"/>
      <c r="AS6" s="48"/>
    </row>
    <row r="7" spans="1:45" s="47" customFormat="1" ht="15" customHeight="1" thickBot="1" x14ac:dyDescent="0.6">
      <c r="A7" s="43"/>
      <c r="B7" s="160" t="s">
        <v>79</v>
      </c>
      <c r="C7" s="139" t="s">
        <v>32</v>
      </c>
      <c r="D7" s="140"/>
      <c r="E7" s="143" t="s">
        <v>1</v>
      </c>
      <c r="F7" s="144"/>
      <c r="G7" s="144"/>
      <c r="H7" s="147" t="s">
        <v>2</v>
      </c>
      <c r="I7" s="147" t="s">
        <v>22</v>
      </c>
      <c r="J7" s="156" t="s">
        <v>23</v>
      </c>
      <c r="K7" s="165" t="s">
        <v>31</v>
      </c>
      <c r="L7" s="156" t="s">
        <v>36</v>
      </c>
      <c r="M7" s="156" t="s">
        <v>37</v>
      </c>
      <c r="N7" s="164" t="s">
        <v>20</v>
      </c>
      <c r="O7" s="154"/>
      <c r="P7" s="154"/>
      <c r="Q7" s="164" t="s">
        <v>21</v>
      </c>
      <c r="R7" s="154"/>
      <c r="S7" s="154"/>
      <c r="T7" s="164" t="s">
        <v>29</v>
      </c>
      <c r="U7" s="154"/>
      <c r="V7" s="154"/>
      <c r="W7" s="158" t="s">
        <v>19</v>
      </c>
      <c r="X7" s="162" t="s">
        <v>3</v>
      </c>
      <c r="Y7" s="149" t="s">
        <v>4</v>
      </c>
      <c r="Z7" s="149" t="s">
        <v>5</v>
      </c>
      <c r="AA7" s="151" t="s">
        <v>6</v>
      </c>
      <c r="AC7" s="153" t="s">
        <v>26</v>
      </c>
      <c r="AD7" s="154"/>
      <c r="AE7" s="155"/>
      <c r="AF7" s="61"/>
      <c r="AJ7" s="121"/>
      <c r="AK7" s="121"/>
      <c r="AL7" s="121"/>
      <c r="AM7" s="121"/>
      <c r="AN7" s="121"/>
      <c r="AO7" s="121"/>
      <c r="AP7" s="42"/>
      <c r="AQ7" s="42"/>
      <c r="AS7" s="48"/>
    </row>
    <row r="8" spans="1:45" s="47" customFormat="1" ht="14.25" customHeight="1" thickBot="1" x14ac:dyDescent="0.6">
      <c r="A8" s="43"/>
      <c r="B8" s="161"/>
      <c r="C8" s="141"/>
      <c r="D8" s="142"/>
      <c r="E8" s="145"/>
      <c r="F8" s="146"/>
      <c r="G8" s="146"/>
      <c r="H8" s="148"/>
      <c r="I8" s="148"/>
      <c r="J8" s="157"/>
      <c r="K8" s="166"/>
      <c r="L8" s="157"/>
      <c r="M8" s="157"/>
      <c r="N8" s="62" t="s">
        <v>17</v>
      </c>
      <c r="O8" s="63" t="s">
        <v>24</v>
      </c>
      <c r="P8" s="63" t="s">
        <v>25</v>
      </c>
      <c r="Q8" s="62" t="s">
        <v>17</v>
      </c>
      <c r="R8" s="63" t="s">
        <v>24</v>
      </c>
      <c r="S8" s="63" t="s">
        <v>25</v>
      </c>
      <c r="T8" s="62" t="s">
        <v>17</v>
      </c>
      <c r="U8" s="63" t="s">
        <v>24</v>
      </c>
      <c r="V8" s="63" t="s">
        <v>25</v>
      </c>
      <c r="W8" s="159"/>
      <c r="X8" s="163"/>
      <c r="Y8" s="150"/>
      <c r="Z8" s="150"/>
      <c r="AA8" s="152"/>
      <c r="AC8" s="64" t="s">
        <v>82</v>
      </c>
      <c r="AD8" s="65" t="s">
        <v>27</v>
      </c>
      <c r="AE8" s="66" t="s">
        <v>83</v>
      </c>
      <c r="AF8" s="54"/>
      <c r="AJ8" s="42"/>
      <c r="AK8" s="42"/>
      <c r="AL8" s="42"/>
      <c r="AM8" s="42"/>
      <c r="AN8" s="42"/>
      <c r="AO8" s="42"/>
      <c r="AP8" s="42"/>
      <c r="AQ8" s="42"/>
      <c r="AS8" s="67" t="s">
        <v>39</v>
      </c>
    </row>
    <row r="9" spans="1:45" s="47" customFormat="1" ht="4.5" customHeight="1" thickBot="1" x14ac:dyDescent="0.6">
      <c r="A9" s="43"/>
      <c r="B9" s="68"/>
      <c r="C9" s="69"/>
      <c r="D9" s="70"/>
      <c r="E9" s="71"/>
      <c r="F9" s="72"/>
      <c r="G9" s="72"/>
      <c r="H9" s="73"/>
      <c r="I9" s="74"/>
      <c r="J9" s="74"/>
      <c r="K9" s="74"/>
      <c r="L9" s="74"/>
      <c r="M9" s="74"/>
      <c r="N9" s="75"/>
      <c r="O9" s="76"/>
      <c r="P9" s="76"/>
      <c r="Q9" s="68"/>
      <c r="R9" s="75"/>
      <c r="S9" s="75"/>
      <c r="T9" s="68"/>
      <c r="U9" s="75"/>
      <c r="V9" s="77"/>
      <c r="W9" s="78"/>
      <c r="X9" s="78"/>
      <c r="Y9" s="71"/>
      <c r="Z9" s="79"/>
      <c r="AA9" s="80"/>
      <c r="AC9" s="81"/>
      <c r="AD9" s="55"/>
      <c r="AE9" s="82"/>
      <c r="AF9" s="55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S9" s="83"/>
    </row>
    <row r="10" spans="1:45" s="85" customFormat="1" ht="13.5" customHeight="1" x14ac:dyDescent="0.55000000000000004">
      <c r="A10" s="84"/>
      <c r="B10" s="87" t="s">
        <v>90</v>
      </c>
      <c r="C10" s="88"/>
      <c r="D10" s="89"/>
      <c r="E10" s="107" t="s">
        <v>97</v>
      </c>
      <c r="F10" s="109"/>
      <c r="G10" s="110"/>
      <c r="H10" s="120"/>
      <c r="I10" s="111" t="s">
        <v>98</v>
      </c>
      <c r="J10" s="111"/>
      <c r="K10" s="112"/>
      <c r="L10" s="90"/>
      <c r="M10" s="113"/>
      <c r="N10" s="114"/>
      <c r="O10" s="91"/>
      <c r="P10" s="91"/>
      <c r="Q10" s="114"/>
      <c r="R10" s="91"/>
      <c r="S10" s="91"/>
      <c r="T10" s="114"/>
      <c r="U10" s="91"/>
      <c r="V10" s="91"/>
      <c r="W10" s="115"/>
      <c r="X10" s="90"/>
      <c r="Y10" s="111"/>
      <c r="Z10" s="92"/>
      <c r="AA10" s="93"/>
      <c r="AB10" s="99"/>
      <c r="AC10" s="116"/>
      <c r="AD10" s="117"/>
      <c r="AE10" s="118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99"/>
      <c r="AS10" s="94" t="str">
        <f>ヘッダ!$G$5</f>
        <v>02_単体テスト</v>
      </c>
    </row>
    <row r="11" spans="1:45" s="85" customFormat="1" ht="45" customHeight="1" x14ac:dyDescent="0.55000000000000004">
      <c r="A11" s="84"/>
      <c r="B11" s="87"/>
      <c r="C11" s="88"/>
      <c r="D11" s="89"/>
      <c r="E11" s="108"/>
      <c r="F11" s="109"/>
      <c r="G11" s="110"/>
      <c r="H11" s="120"/>
      <c r="I11" s="111" t="s">
        <v>115</v>
      </c>
      <c r="J11" s="111"/>
      <c r="K11" s="112"/>
      <c r="L11" s="90"/>
      <c r="M11" s="113"/>
      <c r="N11" s="114"/>
      <c r="O11" s="91"/>
      <c r="P11" s="91"/>
      <c r="Q11" s="114"/>
      <c r="R11" s="91"/>
      <c r="S11" s="91"/>
      <c r="T11" s="114"/>
      <c r="U11" s="91"/>
      <c r="V11" s="91"/>
      <c r="W11" s="115"/>
      <c r="X11" s="90"/>
      <c r="Y11" s="111"/>
      <c r="Z11" s="92"/>
      <c r="AA11" s="93"/>
      <c r="AB11" s="99"/>
      <c r="AC11" s="116"/>
      <c r="AD11" s="117"/>
      <c r="AE11" s="118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99"/>
      <c r="AS11" s="94" t="str">
        <f>ヘッダ!$G$5</f>
        <v>02_単体テスト</v>
      </c>
    </row>
    <row r="12" spans="1:45" s="85" customFormat="1" ht="21" customHeight="1" x14ac:dyDescent="0.55000000000000004">
      <c r="A12" s="84"/>
      <c r="B12" s="87"/>
      <c r="C12" s="88"/>
      <c r="D12" s="89"/>
      <c r="E12" s="108"/>
      <c r="F12" s="109"/>
      <c r="G12" s="110"/>
      <c r="H12" s="120"/>
      <c r="I12" s="111" t="s">
        <v>101</v>
      </c>
      <c r="J12" s="111"/>
      <c r="K12" s="112"/>
      <c r="L12" s="90"/>
      <c r="M12" s="113"/>
      <c r="N12" s="114"/>
      <c r="O12" s="91"/>
      <c r="P12" s="91"/>
      <c r="Q12" s="114"/>
      <c r="R12" s="91"/>
      <c r="S12" s="91"/>
      <c r="T12" s="114"/>
      <c r="U12" s="91"/>
      <c r="V12" s="91"/>
      <c r="W12" s="115"/>
      <c r="X12" s="90"/>
      <c r="Y12" s="111"/>
      <c r="Z12" s="92"/>
      <c r="AA12" s="93"/>
      <c r="AB12" s="99"/>
      <c r="AC12" s="116"/>
      <c r="AD12" s="117"/>
      <c r="AE12" s="118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99"/>
      <c r="AS12" s="94"/>
    </row>
    <row r="13" spans="1:45" s="85" customFormat="1" ht="13.5" customHeight="1" x14ac:dyDescent="0.55000000000000004">
      <c r="A13" s="84"/>
      <c r="B13" s="177" t="s">
        <v>91</v>
      </c>
      <c r="C13" s="178"/>
      <c r="D13" s="179"/>
      <c r="E13" s="180" t="s">
        <v>112</v>
      </c>
      <c r="F13" s="181"/>
      <c r="G13" s="182"/>
      <c r="H13" s="183"/>
      <c r="I13" s="183" t="s">
        <v>113</v>
      </c>
      <c r="J13" s="111"/>
      <c r="K13" s="112"/>
      <c r="L13" s="90"/>
      <c r="M13" s="113"/>
      <c r="N13" s="114"/>
      <c r="O13" s="91"/>
      <c r="P13" s="91"/>
      <c r="Q13" s="114"/>
      <c r="R13" s="91"/>
      <c r="S13" s="91"/>
      <c r="T13" s="114"/>
      <c r="U13" s="91"/>
      <c r="V13" s="91"/>
      <c r="W13" s="115"/>
      <c r="X13" s="90"/>
      <c r="Y13" s="111"/>
      <c r="Z13" s="92"/>
      <c r="AA13" s="93"/>
      <c r="AB13" s="99"/>
      <c r="AC13" s="116"/>
      <c r="AD13" s="117"/>
      <c r="AE13" s="118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99"/>
      <c r="AS13" s="94" t="str">
        <f>ヘッダ!$G$5</f>
        <v>02_単体テスト</v>
      </c>
    </row>
    <row r="14" spans="1:45" s="85" customFormat="1" x14ac:dyDescent="0.55000000000000004">
      <c r="A14" s="84"/>
      <c r="B14" s="132" t="s">
        <v>92</v>
      </c>
      <c r="C14" s="133"/>
      <c r="D14" s="134"/>
      <c r="E14" s="108" t="s">
        <v>128</v>
      </c>
      <c r="F14" s="135"/>
      <c r="G14" s="136"/>
      <c r="H14" s="137"/>
      <c r="I14" s="127" t="s">
        <v>98</v>
      </c>
      <c r="J14" s="111"/>
      <c r="K14" s="112"/>
      <c r="L14" s="90"/>
      <c r="M14" s="113"/>
      <c r="N14" s="114"/>
      <c r="O14" s="91"/>
      <c r="P14" s="91"/>
      <c r="Q14" s="114"/>
      <c r="R14" s="91"/>
      <c r="S14" s="91"/>
      <c r="T14" s="114"/>
      <c r="U14" s="91"/>
      <c r="V14" s="91"/>
      <c r="W14" s="115"/>
      <c r="X14" s="90"/>
      <c r="Y14" s="111"/>
      <c r="Z14" s="92"/>
      <c r="AA14" s="93"/>
      <c r="AB14" s="99"/>
      <c r="AC14" s="116"/>
      <c r="AD14" s="117"/>
      <c r="AE14" s="118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99"/>
      <c r="AS14" s="94" t="str">
        <f>ヘッダ!$G$5</f>
        <v>02_単体テスト</v>
      </c>
    </row>
    <row r="15" spans="1:45" s="85" customFormat="1" ht="45" x14ac:dyDescent="0.55000000000000004">
      <c r="A15" s="84"/>
      <c r="B15" s="87"/>
      <c r="C15" s="88"/>
      <c r="D15" s="89"/>
      <c r="E15" s="108"/>
      <c r="F15" s="109"/>
      <c r="G15" s="110"/>
      <c r="H15" s="120"/>
      <c r="I15" s="111" t="s">
        <v>116</v>
      </c>
      <c r="J15" s="111"/>
      <c r="K15" s="112"/>
      <c r="L15" s="90"/>
      <c r="M15" s="113"/>
      <c r="N15" s="114"/>
      <c r="O15" s="91"/>
      <c r="P15" s="91"/>
      <c r="Q15" s="114"/>
      <c r="R15" s="91"/>
      <c r="S15" s="91"/>
      <c r="T15" s="114"/>
      <c r="U15" s="91"/>
      <c r="V15" s="91"/>
      <c r="W15" s="115"/>
      <c r="X15" s="90"/>
      <c r="Y15" s="111"/>
      <c r="Z15" s="92"/>
      <c r="AA15" s="93"/>
      <c r="AB15" s="99"/>
      <c r="AC15" s="116"/>
      <c r="AD15" s="117"/>
      <c r="AE15" s="118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99"/>
      <c r="AS15" s="94" t="str">
        <f>ヘッダ!$G$5</f>
        <v>02_単体テスト</v>
      </c>
    </row>
    <row r="16" spans="1:45" s="85" customFormat="1" x14ac:dyDescent="0.55000000000000004">
      <c r="A16" s="84"/>
      <c r="B16" s="87"/>
      <c r="C16" s="88"/>
      <c r="D16" s="89"/>
      <c r="E16" s="108"/>
      <c r="F16" s="109"/>
      <c r="G16" s="110"/>
      <c r="H16" s="120"/>
      <c r="I16" s="111" t="s">
        <v>100</v>
      </c>
      <c r="J16" s="111"/>
      <c r="K16" s="112"/>
      <c r="L16" s="90"/>
      <c r="M16" s="113"/>
      <c r="N16" s="114"/>
      <c r="O16" s="91"/>
      <c r="P16" s="91"/>
      <c r="Q16" s="114"/>
      <c r="R16" s="91"/>
      <c r="S16" s="91"/>
      <c r="T16" s="114"/>
      <c r="U16" s="91"/>
      <c r="V16" s="91"/>
      <c r="W16" s="115"/>
      <c r="X16" s="90"/>
      <c r="Y16" s="111"/>
      <c r="Z16" s="92"/>
      <c r="AA16" s="93"/>
      <c r="AB16" s="99"/>
      <c r="AC16" s="116"/>
      <c r="AD16" s="117"/>
      <c r="AE16" s="118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99"/>
      <c r="AS16" s="94" t="str">
        <f>ヘッダ!$G$5</f>
        <v>02_単体テスト</v>
      </c>
    </row>
    <row r="17" spans="1:45" s="85" customFormat="1" ht="13.5" customHeight="1" x14ac:dyDescent="0.55000000000000004">
      <c r="A17" s="84"/>
      <c r="B17" s="87" t="s">
        <v>93</v>
      </c>
      <c r="C17" s="88"/>
      <c r="D17" s="89"/>
      <c r="E17" s="107" t="s">
        <v>114</v>
      </c>
      <c r="F17" s="109"/>
      <c r="G17" s="110"/>
      <c r="H17" s="120"/>
      <c r="I17" s="111" t="s">
        <v>113</v>
      </c>
      <c r="J17" s="111"/>
      <c r="K17" s="112"/>
      <c r="L17" s="90"/>
      <c r="M17" s="113"/>
      <c r="N17" s="114"/>
      <c r="O17" s="91"/>
      <c r="P17" s="91"/>
      <c r="Q17" s="114"/>
      <c r="R17" s="91"/>
      <c r="S17" s="91"/>
      <c r="T17" s="114"/>
      <c r="U17" s="91"/>
      <c r="V17" s="91"/>
      <c r="W17" s="115"/>
      <c r="X17" s="90"/>
      <c r="Y17" s="111"/>
      <c r="Z17" s="92"/>
      <c r="AA17" s="93"/>
      <c r="AB17" s="99"/>
      <c r="AC17" s="116"/>
      <c r="AD17" s="117"/>
      <c r="AE17" s="118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99"/>
      <c r="AS17" s="94" t="str">
        <f>ヘッダ!$G$5</f>
        <v>02_単体テスト</v>
      </c>
    </row>
    <row r="18" spans="1:45" s="85" customFormat="1" x14ac:dyDescent="0.55000000000000004">
      <c r="A18" s="84"/>
      <c r="B18" s="87" t="s">
        <v>127</v>
      </c>
      <c r="C18" s="88"/>
      <c r="D18" s="89"/>
      <c r="E18" s="108" t="s">
        <v>129</v>
      </c>
      <c r="F18" s="109"/>
      <c r="G18" s="110"/>
      <c r="H18" s="120"/>
      <c r="I18" s="111" t="s">
        <v>98</v>
      </c>
      <c r="J18" s="111"/>
      <c r="K18" s="112"/>
      <c r="L18" s="90"/>
      <c r="M18" s="113"/>
      <c r="N18" s="114"/>
      <c r="O18" s="91"/>
      <c r="P18" s="91"/>
      <c r="Q18" s="114"/>
      <c r="R18" s="91"/>
      <c r="S18" s="91"/>
      <c r="T18" s="114"/>
      <c r="U18" s="91"/>
      <c r="V18" s="91"/>
      <c r="W18" s="115"/>
      <c r="X18" s="90"/>
      <c r="Y18" s="111"/>
      <c r="Z18" s="92"/>
      <c r="AA18" s="93"/>
      <c r="AB18" s="99"/>
      <c r="AC18" s="116"/>
      <c r="AD18" s="117"/>
      <c r="AE18" s="118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99"/>
      <c r="AS18" s="94" t="str">
        <f>ヘッダ!$G$5</f>
        <v>02_単体テスト</v>
      </c>
    </row>
    <row r="19" spans="1:45" s="85" customFormat="1" ht="45" x14ac:dyDescent="0.55000000000000004">
      <c r="A19" s="84"/>
      <c r="B19" s="87"/>
      <c r="C19" s="88"/>
      <c r="D19" s="89"/>
      <c r="E19" s="108"/>
      <c r="F19" s="109"/>
      <c r="G19" s="110"/>
      <c r="H19" s="120"/>
      <c r="I19" s="111" t="s">
        <v>117</v>
      </c>
      <c r="J19" s="111"/>
      <c r="K19" s="112"/>
      <c r="L19" s="90"/>
      <c r="M19" s="113"/>
      <c r="N19" s="114"/>
      <c r="O19" s="91"/>
      <c r="P19" s="91"/>
      <c r="Q19" s="114"/>
      <c r="R19" s="91"/>
      <c r="S19" s="91"/>
      <c r="T19" s="114"/>
      <c r="U19" s="91"/>
      <c r="V19" s="91"/>
      <c r="W19" s="115"/>
      <c r="X19" s="90"/>
      <c r="Y19" s="111"/>
      <c r="Z19" s="92"/>
      <c r="AA19" s="93"/>
      <c r="AB19" s="99"/>
      <c r="AC19" s="116"/>
      <c r="AD19" s="117"/>
      <c r="AE19" s="118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99"/>
      <c r="AS19" s="94" t="str">
        <f>ヘッダ!$G$5</f>
        <v>02_単体テスト</v>
      </c>
    </row>
    <row r="20" spans="1:45" s="85" customFormat="1" ht="13.5" customHeight="1" x14ac:dyDescent="0.55000000000000004">
      <c r="A20" s="84"/>
      <c r="B20" s="87"/>
      <c r="C20" s="88"/>
      <c r="D20" s="89"/>
      <c r="E20" s="108"/>
      <c r="F20" s="109"/>
      <c r="G20" s="110"/>
      <c r="H20" s="120"/>
      <c r="I20" s="111" t="s">
        <v>99</v>
      </c>
      <c r="J20" s="111"/>
      <c r="K20" s="112"/>
      <c r="L20" s="90"/>
      <c r="M20" s="113"/>
      <c r="N20" s="114"/>
      <c r="O20" s="91"/>
      <c r="P20" s="91"/>
      <c r="Q20" s="114"/>
      <c r="R20" s="91"/>
      <c r="S20" s="91"/>
      <c r="T20" s="114"/>
      <c r="U20" s="91"/>
      <c r="V20" s="91"/>
      <c r="W20" s="115"/>
      <c r="X20" s="90"/>
      <c r="Y20" s="111"/>
      <c r="Z20" s="92"/>
      <c r="AA20" s="93"/>
      <c r="AB20" s="99"/>
      <c r="AC20" s="116"/>
      <c r="AD20" s="117"/>
      <c r="AE20" s="118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99"/>
      <c r="AS20" s="94" t="str">
        <f>ヘッダ!$G$5</f>
        <v>02_単体テスト</v>
      </c>
    </row>
    <row r="21" spans="1:45" s="85" customFormat="1" x14ac:dyDescent="0.55000000000000004">
      <c r="A21" s="84"/>
      <c r="B21" s="95"/>
      <c r="C21" s="96" t="s">
        <v>18</v>
      </c>
      <c r="D21" s="96"/>
      <c r="K21" s="95"/>
      <c r="N21" s="95"/>
      <c r="O21" s="95"/>
      <c r="P21" s="95"/>
      <c r="Q21" s="95"/>
      <c r="R21" s="95"/>
      <c r="S21" s="95"/>
      <c r="T21" s="95"/>
      <c r="U21" s="95"/>
      <c r="V21" s="95"/>
      <c r="W21" s="97"/>
      <c r="X21" s="95"/>
      <c r="AF21" s="86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S21" s="99"/>
    </row>
    <row r="22" spans="1:45" x14ac:dyDescent="0.55000000000000004">
      <c r="K22" s="101"/>
      <c r="AF22" s="37"/>
    </row>
    <row r="23" spans="1:45" x14ac:dyDescent="0.55000000000000004">
      <c r="K23" s="101"/>
      <c r="AF23" s="37"/>
    </row>
    <row r="24" spans="1:45" x14ac:dyDescent="0.55000000000000004">
      <c r="K24" s="101"/>
      <c r="AF24" s="37"/>
    </row>
    <row r="25" spans="1:45" x14ac:dyDescent="0.55000000000000004">
      <c r="K25" s="101"/>
      <c r="AF25" s="37"/>
    </row>
    <row r="26" spans="1:45" x14ac:dyDescent="0.55000000000000004">
      <c r="K26" s="101"/>
      <c r="AF26" s="37"/>
    </row>
    <row r="27" spans="1:45" x14ac:dyDescent="0.55000000000000004">
      <c r="K27" s="101"/>
      <c r="AF27" s="37"/>
    </row>
    <row r="28" spans="1:45" x14ac:dyDescent="0.55000000000000004">
      <c r="K28" s="101"/>
      <c r="AF28" s="37"/>
    </row>
    <row r="29" spans="1:45" x14ac:dyDescent="0.55000000000000004">
      <c r="K29" s="101"/>
      <c r="AF29" s="37"/>
    </row>
    <row r="30" spans="1:45" x14ac:dyDescent="0.55000000000000004">
      <c r="K30" s="101"/>
      <c r="AF30" s="37"/>
    </row>
    <row r="31" spans="1:45" x14ac:dyDescent="0.55000000000000004">
      <c r="K31" s="101"/>
      <c r="AF31" s="37"/>
    </row>
    <row r="32" spans="1:45" x14ac:dyDescent="0.55000000000000004">
      <c r="K32" s="101"/>
      <c r="AF32" s="37"/>
    </row>
    <row r="33" spans="11:32" x14ac:dyDescent="0.55000000000000004">
      <c r="K33" s="101"/>
      <c r="AF33" s="37"/>
    </row>
    <row r="34" spans="11:32" x14ac:dyDescent="0.55000000000000004">
      <c r="K34" s="101"/>
      <c r="AF34" s="37"/>
    </row>
    <row r="35" spans="11:32" x14ac:dyDescent="0.55000000000000004">
      <c r="K35" s="101"/>
      <c r="AF35" s="37"/>
    </row>
    <row r="36" spans="11:32" x14ac:dyDescent="0.55000000000000004">
      <c r="K36" s="101"/>
      <c r="AF36" s="37"/>
    </row>
    <row r="37" spans="11:32" x14ac:dyDescent="0.55000000000000004">
      <c r="K37" s="101"/>
      <c r="AF37" s="37"/>
    </row>
    <row r="38" spans="11:32" x14ac:dyDescent="0.55000000000000004">
      <c r="K38" s="101"/>
      <c r="AF38" s="37"/>
    </row>
    <row r="39" spans="11:32" x14ac:dyDescent="0.55000000000000004">
      <c r="K39" s="101"/>
      <c r="AF39" s="37"/>
    </row>
    <row r="40" spans="11:32" x14ac:dyDescent="0.55000000000000004">
      <c r="K40" s="101"/>
      <c r="AF40" s="37"/>
    </row>
    <row r="41" spans="11:32" x14ac:dyDescent="0.55000000000000004">
      <c r="K41" s="101"/>
      <c r="AF41" s="37"/>
    </row>
    <row r="42" spans="11:32" x14ac:dyDescent="0.55000000000000004">
      <c r="K42" s="101"/>
      <c r="AF42" s="37"/>
    </row>
    <row r="43" spans="11:32" x14ac:dyDescent="0.55000000000000004">
      <c r="K43" s="101"/>
      <c r="AF43" s="37"/>
    </row>
    <row r="44" spans="11:32" x14ac:dyDescent="0.55000000000000004">
      <c r="K44" s="101"/>
      <c r="AF44" s="37"/>
    </row>
    <row r="45" spans="11:32" x14ac:dyDescent="0.55000000000000004">
      <c r="K45" s="101"/>
      <c r="AF45" s="37"/>
    </row>
    <row r="46" spans="11:32" x14ac:dyDescent="0.55000000000000004">
      <c r="K46" s="101"/>
      <c r="AF46" s="37"/>
    </row>
    <row r="47" spans="11:32" x14ac:dyDescent="0.55000000000000004">
      <c r="K47" s="101"/>
      <c r="AF47" s="37"/>
    </row>
    <row r="48" spans="11:32" x14ac:dyDescent="0.55000000000000004">
      <c r="K48" s="101"/>
      <c r="AF48" s="37"/>
    </row>
    <row r="49" spans="11:32" x14ac:dyDescent="0.55000000000000004">
      <c r="K49" s="101"/>
      <c r="AF49" s="37"/>
    </row>
    <row r="50" spans="11:32" x14ac:dyDescent="0.55000000000000004">
      <c r="K50" s="101"/>
      <c r="AF50" s="37"/>
    </row>
    <row r="51" spans="11:32" x14ac:dyDescent="0.55000000000000004">
      <c r="K51" s="101"/>
      <c r="AF51" s="37"/>
    </row>
    <row r="52" spans="11:32" x14ac:dyDescent="0.55000000000000004">
      <c r="K52" s="101"/>
      <c r="AF52" s="37"/>
    </row>
    <row r="53" spans="11:32" x14ac:dyDescent="0.55000000000000004">
      <c r="K53" s="101"/>
      <c r="AF53" s="37"/>
    </row>
    <row r="54" spans="11:32" x14ac:dyDescent="0.55000000000000004">
      <c r="K54" s="101"/>
      <c r="AF54" s="37"/>
    </row>
    <row r="55" spans="11:32" x14ac:dyDescent="0.55000000000000004">
      <c r="K55" s="101"/>
      <c r="AF55" s="37"/>
    </row>
    <row r="56" spans="11:32" x14ac:dyDescent="0.55000000000000004">
      <c r="K56" s="101"/>
      <c r="AF56" s="37"/>
    </row>
    <row r="57" spans="11:32" x14ac:dyDescent="0.55000000000000004">
      <c r="K57" s="101"/>
      <c r="AF57" s="37"/>
    </row>
    <row r="58" spans="11:32" x14ac:dyDescent="0.55000000000000004">
      <c r="K58" s="101"/>
      <c r="AF58" s="37"/>
    </row>
    <row r="59" spans="11:32" x14ac:dyDescent="0.55000000000000004">
      <c r="K59" s="101"/>
      <c r="AF59" s="37"/>
    </row>
    <row r="60" spans="11:32" x14ac:dyDescent="0.55000000000000004">
      <c r="K60" s="101"/>
      <c r="AF60" s="37"/>
    </row>
    <row r="61" spans="11:32" x14ac:dyDescent="0.55000000000000004">
      <c r="K61" s="101"/>
      <c r="AF61" s="37"/>
    </row>
    <row r="62" spans="11:32" x14ac:dyDescent="0.55000000000000004">
      <c r="K62" s="101"/>
      <c r="AF62" s="37"/>
    </row>
    <row r="63" spans="11:32" x14ac:dyDescent="0.55000000000000004">
      <c r="K63" s="101"/>
      <c r="AF63" s="37"/>
    </row>
    <row r="64" spans="11:32" x14ac:dyDescent="0.55000000000000004">
      <c r="K64" s="101"/>
      <c r="AF64" s="37"/>
    </row>
    <row r="65" spans="11:32" x14ac:dyDescent="0.55000000000000004">
      <c r="K65" s="101"/>
      <c r="AF65" s="37"/>
    </row>
    <row r="66" spans="11:32" x14ac:dyDescent="0.55000000000000004">
      <c r="AF66" s="37"/>
    </row>
    <row r="67" spans="11:32" x14ac:dyDescent="0.55000000000000004">
      <c r="AF67" s="37"/>
    </row>
    <row r="68" spans="11:32" x14ac:dyDescent="0.55000000000000004">
      <c r="AF68" s="37"/>
    </row>
    <row r="69" spans="11:32" x14ac:dyDescent="0.55000000000000004">
      <c r="AF69" s="37"/>
    </row>
    <row r="70" spans="11:32" x14ac:dyDescent="0.55000000000000004">
      <c r="AF70" s="37"/>
    </row>
    <row r="71" spans="11:32" x14ac:dyDescent="0.55000000000000004">
      <c r="AF71" s="37"/>
    </row>
    <row r="72" spans="11:32" x14ac:dyDescent="0.55000000000000004">
      <c r="AF72" s="37"/>
    </row>
    <row r="73" spans="11:32" x14ac:dyDescent="0.55000000000000004">
      <c r="AF73" s="37"/>
    </row>
    <row r="74" spans="11:32" x14ac:dyDescent="0.55000000000000004">
      <c r="AF74" s="37"/>
    </row>
    <row r="75" spans="11:32" x14ac:dyDescent="0.55000000000000004">
      <c r="AF75" s="37"/>
    </row>
    <row r="76" spans="11:32" x14ac:dyDescent="0.55000000000000004">
      <c r="AF76" s="37"/>
    </row>
    <row r="77" spans="11:32" x14ac:dyDescent="0.55000000000000004">
      <c r="AF77" s="37"/>
    </row>
    <row r="78" spans="11:32" x14ac:dyDescent="0.55000000000000004">
      <c r="AF78" s="37"/>
    </row>
    <row r="79" spans="11:32" x14ac:dyDescent="0.55000000000000004">
      <c r="AF79" s="37"/>
    </row>
    <row r="80" spans="11:32" x14ac:dyDescent="0.55000000000000004">
      <c r="AF80" s="37"/>
    </row>
    <row r="81" spans="32:32" x14ac:dyDescent="0.55000000000000004">
      <c r="AF81" s="37"/>
    </row>
    <row r="82" spans="32:32" x14ac:dyDescent="0.55000000000000004">
      <c r="AF82" s="37"/>
    </row>
    <row r="83" spans="32:32" x14ac:dyDescent="0.55000000000000004">
      <c r="AF83" s="37"/>
    </row>
    <row r="84" spans="32:32" x14ac:dyDescent="0.55000000000000004">
      <c r="AF84" s="37"/>
    </row>
    <row r="85" spans="32:32" x14ac:dyDescent="0.55000000000000004">
      <c r="AF85" s="37"/>
    </row>
    <row r="86" spans="32:32" x14ac:dyDescent="0.55000000000000004">
      <c r="AF86" s="37"/>
    </row>
    <row r="87" spans="32:32" x14ac:dyDescent="0.55000000000000004">
      <c r="AF87" s="37"/>
    </row>
    <row r="88" spans="32:32" x14ac:dyDescent="0.55000000000000004">
      <c r="AF88" s="37"/>
    </row>
    <row r="89" spans="32:32" x14ac:dyDescent="0.55000000000000004">
      <c r="AF89" s="37"/>
    </row>
    <row r="90" spans="32:32" x14ac:dyDescent="0.55000000000000004">
      <c r="AF90" s="37"/>
    </row>
    <row r="91" spans="32:32" x14ac:dyDescent="0.55000000000000004">
      <c r="AF91" s="37"/>
    </row>
    <row r="92" spans="32:32" x14ac:dyDescent="0.55000000000000004">
      <c r="AF92" s="37"/>
    </row>
    <row r="93" spans="32:32" x14ac:dyDescent="0.55000000000000004">
      <c r="AF93" s="37"/>
    </row>
    <row r="94" spans="32:32" x14ac:dyDescent="0.55000000000000004">
      <c r="AF94" s="37"/>
    </row>
    <row r="95" spans="32:32" x14ac:dyDescent="0.55000000000000004">
      <c r="AF95" s="37"/>
    </row>
    <row r="96" spans="32:32" x14ac:dyDescent="0.55000000000000004">
      <c r="AF96" s="37"/>
    </row>
    <row r="97" spans="32:32" x14ac:dyDescent="0.55000000000000004">
      <c r="AF97" s="37"/>
    </row>
    <row r="98" spans="32:32" x14ac:dyDescent="0.55000000000000004">
      <c r="AF98" s="37"/>
    </row>
    <row r="99" spans="32:32" x14ac:dyDescent="0.55000000000000004">
      <c r="AF99" s="37"/>
    </row>
    <row r="100" spans="32:32" x14ac:dyDescent="0.55000000000000004">
      <c r="AF100" s="37"/>
    </row>
    <row r="101" spans="32:32" x14ac:dyDescent="0.55000000000000004">
      <c r="AF101" s="37"/>
    </row>
    <row r="102" spans="32:32" x14ac:dyDescent="0.55000000000000004">
      <c r="AF102" s="37"/>
    </row>
    <row r="103" spans="32:32" x14ac:dyDescent="0.55000000000000004">
      <c r="AF103" s="37"/>
    </row>
    <row r="104" spans="32:32" x14ac:dyDescent="0.55000000000000004">
      <c r="AF104" s="37"/>
    </row>
    <row r="105" spans="32:32" x14ac:dyDescent="0.55000000000000004">
      <c r="AF105" s="37"/>
    </row>
    <row r="106" spans="32:32" x14ac:dyDescent="0.55000000000000004">
      <c r="AF106" s="37"/>
    </row>
    <row r="107" spans="32:32" x14ac:dyDescent="0.55000000000000004">
      <c r="AF107" s="37"/>
    </row>
    <row r="108" spans="32:32" x14ac:dyDescent="0.55000000000000004">
      <c r="AF108" s="37"/>
    </row>
    <row r="109" spans="32:32" x14ac:dyDescent="0.55000000000000004">
      <c r="AF109" s="37"/>
    </row>
    <row r="110" spans="32:32" x14ac:dyDescent="0.55000000000000004">
      <c r="AF110" s="37"/>
    </row>
    <row r="111" spans="32:32" x14ac:dyDescent="0.55000000000000004">
      <c r="AF111" s="37"/>
    </row>
    <row r="112" spans="32:32" x14ac:dyDescent="0.55000000000000004">
      <c r="AF112" s="37"/>
    </row>
    <row r="113" spans="32:32" x14ac:dyDescent="0.55000000000000004">
      <c r="AF113" s="37"/>
    </row>
    <row r="114" spans="32:32" x14ac:dyDescent="0.55000000000000004">
      <c r="AF114" s="37"/>
    </row>
    <row r="115" spans="32:32" x14ac:dyDescent="0.55000000000000004">
      <c r="AF115" s="37"/>
    </row>
    <row r="116" spans="32:32" x14ac:dyDescent="0.55000000000000004">
      <c r="AF116" s="37"/>
    </row>
    <row r="117" spans="32:32" x14ac:dyDescent="0.55000000000000004">
      <c r="AF117" s="37"/>
    </row>
    <row r="118" spans="32:32" x14ac:dyDescent="0.55000000000000004">
      <c r="AF118" s="37"/>
    </row>
    <row r="119" spans="32:32" x14ac:dyDescent="0.55000000000000004">
      <c r="AF119" s="37"/>
    </row>
    <row r="120" spans="32:32" x14ac:dyDescent="0.55000000000000004">
      <c r="AF120" s="37"/>
    </row>
    <row r="121" spans="32:32" x14ac:dyDescent="0.55000000000000004">
      <c r="AF121" s="37"/>
    </row>
    <row r="122" spans="32:32" x14ac:dyDescent="0.55000000000000004">
      <c r="AF122" s="37"/>
    </row>
    <row r="123" spans="32:32" x14ac:dyDescent="0.55000000000000004">
      <c r="AF123" s="37"/>
    </row>
    <row r="124" spans="32:32" x14ac:dyDescent="0.55000000000000004">
      <c r="AF124" s="37"/>
    </row>
    <row r="125" spans="32:32" x14ac:dyDescent="0.55000000000000004">
      <c r="AF125" s="37"/>
    </row>
    <row r="126" spans="32:32" x14ac:dyDescent="0.55000000000000004">
      <c r="AF126" s="37"/>
    </row>
    <row r="127" spans="32:32" x14ac:dyDescent="0.55000000000000004">
      <c r="AF127" s="37"/>
    </row>
    <row r="128" spans="32:32" x14ac:dyDescent="0.55000000000000004">
      <c r="AF128" s="37"/>
    </row>
    <row r="129" spans="32:32" x14ac:dyDescent="0.55000000000000004">
      <c r="AF129" s="37"/>
    </row>
    <row r="130" spans="32:32" x14ac:dyDescent="0.55000000000000004">
      <c r="AF130" s="37"/>
    </row>
    <row r="131" spans="32:32" x14ac:dyDescent="0.55000000000000004">
      <c r="AF131" s="37"/>
    </row>
    <row r="132" spans="32:32" x14ac:dyDescent="0.55000000000000004">
      <c r="AF132" s="37"/>
    </row>
    <row r="133" spans="32:32" x14ac:dyDescent="0.55000000000000004">
      <c r="AF133" s="37"/>
    </row>
    <row r="134" spans="32:32" x14ac:dyDescent="0.55000000000000004">
      <c r="AF134" s="37"/>
    </row>
    <row r="135" spans="32:32" x14ac:dyDescent="0.55000000000000004">
      <c r="AF135" s="37"/>
    </row>
    <row r="136" spans="32:32" x14ac:dyDescent="0.55000000000000004">
      <c r="AF136" s="37"/>
    </row>
    <row r="137" spans="32:32" x14ac:dyDescent="0.55000000000000004">
      <c r="AF137" s="37"/>
    </row>
    <row r="138" spans="32:32" x14ac:dyDescent="0.55000000000000004">
      <c r="AF138" s="37"/>
    </row>
    <row r="139" spans="32:32" x14ac:dyDescent="0.55000000000000004">
      <c r="AF139" s="37"/>
    </row>
    <row r="140" spans="32:32" x14ac:dyDescent="0.55000000000000004">
      <c r="AF140" s="37"/>
    </row>
    <row r="141" spans="32:32" x14ac:dyDescent="0.55000000000000004">
      <c r="AF141" s="37"/>
    </row>
    <row r="142" spans="32:32" x14ac:dyDescent="0.55000000000000004">
      <c r="AF142" s="37"/>
    </row>
    <row r="143" spans="32:32" x14ac:dyDescent="0.55000000000000004">
      <c r="AF143" s="37"/>
    </row>
    <row r="144" spans="32:32" x14ac:dyDescent="0.55000000000000004">
      <c r="AF144" s="37"/>
    </row>
    <row r="145" spans="32:32" x14ac:dyDescent="0.55000000000000004">
      <c r="AF145" s="37"/>
    </row>
    <row r="146" spans="32:32" x14ac:dyDescent="0.55000000000000004">
      <c r="AF146" s="37"/>
    </row>
    <row r="147" spans="32:32" x14ac:dyDescent="0.55000000000000004">
      <c r="AF147" s="37"/>
    </row>
    <row r="148" spans="32:32" x14ac:dyDescent="0.55000000000000004">
      <c r="AF148" s="37"/>
    </row>
    <row r="149" spans="32:32" x14ac:dyDescent="0.55000000000000004">
      <c r="AF149" s="37"/>
    </row>
    <row r="150" spans="32:32" x14ac:dyDescent="0.55000000000000004">
      <c r="AF150" s="37"/>
    </row>
    <row r="151" spans="32:32" x14ac:dyDescent="0.55000000000000004">
      <c r="AF151" s="37"/>
    </row>
    <row r="152" spans="32:32" x14ac:dyDescent="0.55000000000000004">
      <c r="AF152" s="37"/>
    </row>
    <row r="153" spans="32:32" x14ac:dyDescent="0.55000000000000004">
      <c r="AF153" s="37"/>
    </row>
    <row r="154" spans="32:32" x14ac:dyDescent="0.55000000000000004">
      <c r="AF154" s="37"/>
    </row>
    <row r="155" spans="32:32" x14ac:dyDescent="0.55000000000000004">
      <c r="AF155" s="37"/>
    </row>
    <row r="156" spans="32:32" x14ac:dyDescent="0.55000000000000004">
      <c r="AF156" s="37"/>
    </row>
    <row r="157" spans="32:32" x14ac:dyDescent="0.55000000000000004">
      <c r="AF157" s="37"/>
    </row>
    <row r="158" spans="32:32" x14ac:dyDescent="0.55000000000000004">
      <c r="AF158" s="37"/>
    </row>
    <row r="159" spans="32:32" x14ac:dyDescent="0.55000000000000004">
      <c r="AF159" s="37"/>
    </row>
    <row r="160" spans="32:32" x14ac:dyDescent="0.55000000000000004">
      <c r="AF160" s="37"/>
    </row>
    <row r="161" spans="32:32" x14ac:dyDescent="0.55000000000000004">
      <c r="AF161" s="37"/>
    </row>
    <row r="162" spans="32:32" x14ac:dyDescent="0.55000000000000004">
      <c r="AF162" s="37"/>
    </row>
    <row r="163" spans="32:32" x14ac:dyDescent="0.55000000000000004">
      <c r="AF163" s="37"/>
    </row>
    <row r="164" spans="32:32" x14ac:dyDescent="0.55000000000000004">
      <c r="AF164" s="37"/>
    </row>
    <row r="165" spans="32:32" x14ac:dyDescent="0.55000000000000004">
      <c r="AF165" s="37"/>
    </row>
    <row r="166" spans="32:32" x14ac:dyDescent="0.55000000000000004">
      <c r="AF166" s="37"/>
    </row>
    <row r="167" spans="32:32" x14ac:dyDescent="0.55000000000000004">
      <c r="AF167" s="37"/>
    </row>
    <row r="168" spans="32:32" x14ac:dyDescent="0.55000000000000004">
      <c r="AF168" s="37"/>
    </row>
    <row r="169" spans="32:32" x14ac:dyDescent="0.55000000000000004">
      <c r="AF169" s="37"/>
    </row>
    <row r="170" spans="32:32" x14ac:dyDescent="0.55000000000000004">
      <c r="AF170" s="37"/>
    </row>
    <row r="171" spans="32:32" x14ac:dyDescent="0.55000000000000004">
      <c r="AF171" s="37"/>
    </row>
    <row r="172" spans="32:32" x14ac:dyDescent="0.55000000000000004">
      <c r="AF172" s="37"/>
    </row>
    <row r="173" spans="32:32" x14ac:dyDescent="0.55000000000000004">
      <c r="AF173" s="37"/>
    </row>
    <row r="174" spans="32:32" x14ac:dyDescent="0.55000000000000004">
      <c r="AF174" s="37"/>
    </row>
    <row r="175" spans="32:32" x14ac:dyDescent="0.55000000000000004">
      <c r="AF175" s="37"/>
    </row>
    <row r="176" spans="32:32" x14ac:dyDescent="0.55000000000000004">
      <c r="AF176" s="37"/>
    </row>
    <row r="177" spans="32:32" x14ac:dyDescent="0.55000000000000004">
      <c r="AF177" s="37"/>
    </row>
    <row r="178" spans="32:32" x14ac:dyDescent="0.55000000000000004">
      <c r="AF178" s="37"/>
    </row>
    <row r="179" spans="32:32" x14ac:dyDescent="0.55000000000000004">
      <c r="AF179" s="37"/>
    </row>
    <row r="180" spans="32:32" x14ac:dyDescent="0.55000000000000004">
      <c r="AF180" s="37"/>
    </row>
    <row r="181" spans="32:32" x14ac:dyDescent="0.55000000000000004">
      <c r="AF181" s="37"/>
    </row>
    <row r="182" spans="32:32" x14ac:dyDescent="0.55000000000000004">
      <c r="AF182" s="37"/>
    </row>
    <row r="183" spans="32:32" x14ac:dyDescent="0.55000000000000004">
      <c r="AF183" s="37"/>
    </row>
    <row r="184" spans="32:32" x14ac:dyDescent="0.55000000000000004">
      <c r="AF184" s="37"/>
    </row>
    <row r="185" spans="32:32" x14ac:dyDescent="0.55000000000000004">
      <c r="AF185" s="37"/>
    </row>
    <row r="186" spans="32:32" x14ac:dyDescent="0.55000000000000004">
      <c r="AF186" s="37"/>
    </row>
    <row r="187" spans="32:32" x14ac:dyDescent="0.55000000000000004">
      <c r="AF187" s="37"/>
    </row>
    <row r="188" spans="32:32" x14ac:dyDescent="0.55000000000000004">
      <c r="AF188" s="37"/>
    </row>
    <row r="189" spans="32:32" x14ac:dyDescent="0.55000000000000004">
      <c r="AF189" s="37"/>
    </row>
    <row r="190" spans="32:32" x14ac:dyDescent="0.55000000000000004">
      <c r="AF190" s="37"/>
    </row>
    <row r="191" spans="32:32" x14ac:dyDescent="0.55000000000000004">
      <c r="AF191" s="37"/>
    </row>
    <row r="192" spans="32:32" x14ac:dyDescent="0.55000000000000004">
      <c r="AF192" s="37"/>
    </row>
    <row r="193" spans="32:32" x14ac:dyDescent="0.55000000000000004">
      <c r="AF193" s="37"/>
    </row>
    <row r="194" spans="32:32" x14ac:dyDescent="0.55000000000000004">
      <c r="AF194" s="37"/>
    </row>
    <row r="195" spans="32:32" x14ac:dyDescent="0.55000000000000004">
      <c r="AF195" s="37"/>
    </row>
    <row r="196" spans="32:32" x14ac:dyDescent="0.55000000000000004">
      <c r="AF196" s="37"/>
    </row>
    <row r="197" spans="32:32" x14ac:dyDescent="0.55000000000000004">
      <c r="AF197" s="37"/>
    </row>
    <row r="198" spans="32:32" x14ac:dyDescent="0.55000000000000004">
      <c r="AF198" s="37"/>
    </row>
    <row r="199" spans="32:32" x14ac:dyDescent="0.55000000000000004">
      <c r="AF199" s="37"/>
    </row>
    <row r="200" spans="32:32" x14ac:dyDescent="0.55000000000000004">
      <c r="AF200" s="37"/>
    </row>
    <row r="201" spans="32:32" x14ac:dyDescent="0.55000000000000004">
      <c r="AF201" s="37"/>
    </row>
    <row r="202" spans="32:32" x14ac:dyDescent="0.55000000000000004">
      <c r="AF202" s="37"/>
    </row>
    <row r="203" spans="32:32" x14ac:dyDescent="0.55000000000000004">
      <c r="AF203" s="37"/>
    </row>
    <row r="204" spans="32:32" x14ac:dyDescent="0.55000000000000004">
      <c r="AF204" s="37"/>
    </row>
    <row r="205" spans="32:32" x14ac:dyDescent="0.55000000000000004">
      <c r="AF205" s="37"/>
    </row>
    <row r="206" spans="32:32" x14ac:dyDescent="0.55000000000000004">
      <c r="AF206" s="37"/>
    </row>
    <row r="207" spans="32:32" x14ac:dyDescent="0.55000000000000004">
      <c r="AF207" s="37"/>
    </row>
    <row r="208" spans="32:32" x14ac:dyDescent="0.55000000000000004">
      <c r="AF208" s="37"/>
    </row>
    <row r="209" spans="32:32" x14ac:dyDescent="0.55000000000000004">
      <c r="AF209" s="37"/>
    </row>
    <row r="210" spans="32:32" x14ac:dyDescent="0.55000000000000004">
      <c r="AF210" s="37"/>
    </row>
    <row r="211" spans="32:32" x14ac:dyDescent="0.55000000000000004">
      <c r="AF211" s="37"/>
    </row>
    <row r="212" spans="32:32" x14ac:dyDescent="0.55000000000000004">
      <c r="AF212" s="37"/>
    </row>
    <row r="213" spans="32:32" x14ac:dyDescent="0.55000000000000004">
      <c r="AF213" s="37"/>
    </row>
    <row r="214" spans="32:32" x14ac:dyDescent="0.55000000000000004">
      <c r="AF214" s="37"/>
    </row>
    <row r="215" spans="32:32" x14ac:dyDescent="0.55000000000000004">
      <c r="AF215" s="37"/>
    </row>
    <row r="216" spans="32:32" x14ac:dyDescent="0.55000000000000004">
      <c r="AF216" s="37"/>
    </row>
    <row r="217" spans="32:32" x14ac:dyDescent="0.55000000000000004">
      <c r="AF217" s="37"/>
    </row>
    <row r="218" spans="32:32" x14ac:dyDescent="0.55000000000000004">
      <c r="AF218" s="37"/>
    </row>
    <row r="219" spans="32:32" x14ac:dyDescent="0.55000000000000004">
      <c r="AF219" s="37"/>
    </row>
    <row r="220" spans="32:32" x14ac:dyDescent="0.55000000000000004">
      <c r="AF220" s="37"/>
    </row>
    <row r="221" spans="32:32" x14ac:dyDescent="0.55000000000000004">
      <c r="AF221" s="37"/>
    </row>
    <row r="222" spans="32:32" x14ac:dyDescent="0.55000000000000004">
      <c r="AF222" s="37"/>
    </row>
    <row r="223" spans="32:32" x14ac:dyDescent="0.55000000000000004">
      <c r="AF223" s="37"/>
    </row>
    <row r="224" spans="32:32" x14ac:dyDescent="0.55000000000000004">
      <c r="AF224" s="37"/>
    </row>
    <row r="225" spans="32:32" x14ac:dyDescent="0.55000000000000004">
      <c r="AF225" s="37"/>
    </row>
    <row r="226" spans="32:32" x14ac:dyDescent="0.55000000000000004">
      <c r="AF226" s="37"/>
    </row>
    <row r="227" spans="32:32" x14ac:dyDescent="0.55000000000000004">
      <c r="AF227" s="37"/>
    </row>
    <row r="228" spans="32:32" x14ac:dyDescent="0.55000000000000004">
      <c r="AF228" s="37"/>
    </row>
    <row r="229" spans="32:32" x14ac:dyDescent="0.55000000000000004">
      <c r="AF229" s="37"/>
    </row>
    <row r="230" spans="32:32" x14ac:dyDescent="0.55000000000000004">
      <c r="AF230" s="37"/>
    </row>
    <row r="231" spans="32:32" x14ac:dyDescent="0.55000000000000004">
      <c r="AF231" s="37"/>
    </row>
    <row r="232" spans="32:32" x14ac:dyDescent="0.55000000000000004">
      <c r="AF232" s="37"/>
    </row>
    <row r="233" spans="32:32" x14ac:dyDescent="0.55000000000000004">
      <c r="AF233" s="37"/>
    </row>
    <row r="234" spans="32:32" x14ac:dyDescent="0.55000000000000004">
      <c r="AF234" s="37"/>
    </row>
    <row r="235" spans="32:32" x14ac:dyDescent="0.55000000000000004">
      <c r="AF235" s="37"/>
    </row>
    <row r="236" spans="32:32" x14ac:dyDescent="0.55000000000000004">
      <c r="AF236" s="37"/>
    </row>
    <row r="237" spans="32:32" x14ac:dyDescent="0.55000000000000004">
      <c r="AF237" s="37"/>
    </row>
    <row r="238" spans="32:32" x14ac:dyDescent="0.55000000000000004">
      <c r="AF238" s="37"/>
    </row>
    <row r="239" spans="32:32" x14ac:dyDescent="0.55000000000000004">
      <c r="AF239" s="37"/>
    </row>
    <row r="240" spans="32:32" x14ac:dyDescent="0.55000000000000004">
      <c r="AF240" s="37"/>
    </row>
    <row r="241" spans="32:32" x14ac:dyDescent="0.55000000000000004">
      <c r="AF241" s="37"/>
    </row>
    <row r="242" spans="32:32" x14ac:dyDescent="0.55000000000000004">
      <c r="AF242" s="37"/>
    </row>
    <row r="243" spans="32:32" x14ac:dyDescent="0.55000000000000004">
      <c r="AF243" s="37"/>
    </row>
    <row r="244" spans="32:32" x14ac:dyDescent="0.55000000000000004">
      <c r="AF244" s="37"/>
    </row>
    <row r="245" spans="32:32" x14ac:dyDescent="0.55000000000000004">
      <c r="AF245" s="37"/>
    </row>
    <row r="246" spans="32:32" x14ac:dyDescent="0.55000000000000004">
      <c r="AF246" s="37"/>
    </row>
    <row r="247" spans="32:32" x14ac:dyDescent="0.55000000000000004">
      <c r="AF247" s="37"/>
    </row>
    <row r="248" spans="32:32" x14ac:dyDescent="0.55000000000000004">
      <c r="AF248" s="37"/>
    </row>
    <row r="249" spans="32:32" x14ac:dyDescent="0.55000000000000004">
      <c r="AF249" s="37"/>
    </row>
    <row r="250" spans="32:32" x14ac:dyDescent="0.55000000000000004">
      <c r="AF250" s="37"/>
    </row>
    <row r="251" spans="32:32" x14ac:dyDescent="0.55000000000000004">
      <c r="AF251" s="37"/>
    </row>
    <row r="252" spans="32:32" x14ac:dyDescent="0.55000000000000004">
      <c r="AF252" s="37"/>
    </row>
    <row r="253" spans="32:32" x14ac:dyDescent="0.55000000000000004">
      <c r="AF253" s="37"/>
    </row>
    <row r="254" spans="32:32" x14ac:dyDescent="0.55000000000000004">
      <c r="AF254" s="37"/>
    </row>
    <row r="255" spans="32:32" x14ac:dyDescent="0.55000000000000004">
      <c r="AF255" s="37"/>
    </row>
    <row r="256" spans="32:32" x14ac:dyDescent="0.55000000000000004">
      <c r="AF256" s="37"/>
    </row>
    <row r="257" spans="32:32" x14ac:dyDescent="0.55000000000000004">
      <c r="AF257" s="37"/>
    </row>
    <row r="258" spans="32:32" x14ac:dyDescent="0.55000000000000004">
      <c r="AF258" s="37"/>
    </row>
    <row r="259" spans="32:32" x14ac:dyDescent="0.55000000000000004">
      <c r="AF259" s="37"/>
    </row>
    <row r="260" spans="32:32" x14ac:dyDescent="0.55000000000000004">
      <c r="AF260" s="37"/>
    </row>
    <row r="261" spans="32:32" x14ac:dyDescent="0.55000000000000004">
      <c r="AF261" s="37"/>
    </row>
    <row r="262" spans="32:32" x14ac:dyDescent="0.55000000000000004">
      <c r="AF262" s="37"/>
    </row>
    <row r="263" spans="32:32" x14ac:dyDescent="0.55000000000000004">
      <c r="AF263" s="37"/>
    </row>
    <row r="264" spans="32:32" x14ac:dyDescent="0.55000000000000004">
      <c r="AF264" s="37"/>
    </row>
    <row r="265" spans="32:32" x14ac:dyDescent="0.55000000000000004">
      <c r="AF265" s="37"/>
    </row>
    <row r="266" spans="32:32" x14ac:dyDescent="0.55000000000000004">
      <c r="AF266" s="37"/>
    </row>
    <row r="267" spans="32:32" x14ac:dyDescent="0.55000000000000004">
      <c r="AF267" s="37"/>
    </row>
    <row r="268" spans="32:32" x14ac:dyDescent="0.55000000000000004">
      <c r="AF268" s="37"/>
    </row>
    <row r="269" spans="32:32" x14ac:dyDescent="0.55000000000000004">
      <c r="AF269" s="37"/>
    </row>
    <row r="270" spans="32:32" x14ac:dyDescent="0.55000000000000004">
      <c r="AF270" s="37"/>
    </row>
    <row r="271" spans="32:32" x14ac:dyDescent="0.55000000000000004">
      <c r="AF271" s="37"/>
    </row>
    <row r="272" spans="32:32" x14ac:dyDescent="0.55000000000000004">
      <c r="AF272" s="37"/>
    </row>
    <row r="273" spans="32:32" x14ac:dyDescent="0.55000000000000004">
      <c r="AF273" s="37"/>
    </row>
    <row r="274" spans="32:32" x14ac:dyDescent="0.55000000000000004">
      <c r="AF274" s="37"/>
    </row>
    <row r="275" spans="32:32" x14ac:dyDescent="0.55000000000000004">
      <c r="AF275" s="37"/>
    </row>
    <row r="276" spans="32:32" x14ac:dyDescent="0.55000000000000004">
      <c r="AF276" s="37"/>
    </row>
    <row r="277" spans="32:32" x14ac:dyDescent="0.55000000000000004">
      <c r="AF277" s="37"/>
    </row>
    <row r="278" spans="32:32" x14ac:dyDescent="0.55000000000000004">
      <c r="AF278" s="37"/>
    </row>
    <row r="279" spans="32:32" x14ac:dyDescent="0.55000000000000004">
      <c r="AF279" s="37"/>
    </row>
    <row r="280" spans="32:32" x14ac:dyDescent="0.55000000000000004">
      <c r="AF280" s="37"/>
    </row>
    <row r="281" spans="32:32" x14ac:dyDescent="0.55000000000000004">
      <c r="AF281" s="37"/>
    </row>
    <row r="282" spans="32:32" x14ac:dyDescent="0.55000000000000004">
      <c r="AF282" s="37"/>
    </row>
    <row r="283" spans="32:32" x14ac:dyDescent="0.55000000000000004">
      <c r="AF283" s="37"/>
    </row>
    <row r="284" spans="32:32" x14ac:dyDescent="0.55000000000000004">
      <c r="AF284" s="37"/>
    </row>
    <row r="285" spans="32:32" x14ac:dyDescent="0.55000000000000004">
      <c r="AF285" s="37"/>
    </row>
    <row r="286" spans="32:32" x14ac:dyDescent="0.55000000000000004">
      <c r="AF286" s="37"/>
    </row>
    <row r="287" spans="32:32" x14ac:dyDescent="0.55000000000000004">
      <c r="AF287" s="37"/>
    </row>
    <row r="288" spans="32:32" x14ac:dyDescent="0.55000000000000004">
      <c r="AF288" s="37"/>
    </row>
    <row r="289" spans="32:32" x14ac:dyDescent="0.55000000000000004">
      <c r="AF289" s="37"/>
    </row>
    <row r="290" spans="32:32" x14ac:dyDescent="0.55000000000000004">
      <c r="AF290" s="37"/>
    </row>
    <row r="291" spans="32:32" x14ac:dyDescent="0.55000000000000004">
      <c r="AF291" s="37"/>
    </row>
    <row r="292" spans="32:32" x14ac:dyDescent="0.55000000000000004">
      <c r="AF292" s="37"/>
    </row>
    <row r="293" spans="32:32" x14ac:dyDescent="0.55000000000000004">
      <c r="AF293" s="37"/>
    </row>
    <row r="294" spans="32:32" x14ac:dyDescent="0.55000000000000004">
      <c r="AF294" s="37"/>
    </row>
    <row r="295" spans="32:32" x14ac:dyDescent="0.55000000000000004">
      <c r="AF295" s="37"/>
    </row>
    <row r="296" spans="32:32" x14ac:dyDescent="0.55000000000000004">
      <c r="AF296" s="37"/>
    </row>
    <row r="297" spans="32:32" x14ac:dyDescent="0.55000000000000004">
      <c r="AF297" s="37"/>
    </row>
    <row r="298" spans="32:32" x14ac:dyDescent="0.55000000000000004">
      <c r="AF298" s="37"/>
    </row>
    <row r="299" spans="32:32" x14ac:dyDescent="0.55000000000000004">
      <c r="AF299" s="37"/>
    </row>
    <row r="300" spans="32:32" x14ac:dyDescent="0.55000000000000004">
      <c r="AF300" s="37"/>
    </row>
    <row r="301" spans="32:32" x14ac:dyDescent="0.55000000000000004">
      <c r="AF301" s="37"/>
    </row>
    <row r="302" spans="32:32" x14ac:dyDescent="0.55000000000000004">
      <c r="AF302" s="37"/>
    </row>
    <row r="303" spans="32:32" x14ac:dyDescent="0.55000000000000004">
      <c r="AF303" s="37"/>
    </row>
    <row r="304" spans="32:32" x14ac:dyDescent="0.55000000000000004">
      <c r="AF304" s="37"/>
    </row>
    <row r="305" spans="32:32" x14ac:dyDescent="0.55000000000000004">
      <c r="AF305" s="37"/>
    </row>
    <row r="306" spans="32:32" x14ac:dyDescent="0.55000000000000004">
      <c r="AF306" s="37"/>
    </row>
    <row r="307" spans="32:32" x14ac:dyDescent="0.55000000000000004">
      <c r="AF307" s="37"/>
    </row>
    <row r="308" spans="32:32" x14ac:dyDescent="0.55000000000000004">
      <c r="AF308" s="37"/>
    </row>
    <row r="309" spans="32:32" x14ac:dyDescent="0.55000000000000004">
      <c r="AF309" s="37"/>
    </row>
    <row r="310" spans="32:32" x14ac:dyDescent="0.55000000000000004">
      <c r="AF310" s="37"/>
    </row>
    <row r="311" spans="32:32" x14ac:dyDescent="0.55000000000000004">
      <c r="AF311" s="37"/>
    </row>
    <row r="312" spans="32:32" x14ac:dyDescent="0.55000000000000004">
      <c r="AF312" s="37"/>
    </row>
    <row r="313" spans="32:32" x14ac:dyDescent="0.55000000000000004">
      <c r="AF313" s="37"/>
    </row>
    <row r="314" spans="32:32" x14ac:dyDescent="0.55000000000000004">
      <c r="AF314" s="37"/>
    </row>
    <row r="315" spans="32:32" x14ac:dyDescent="0.55000000000000004">
      <c r="AF315" s="37"/>
    </row>
    <row r="316" spans="32:32" x14ac:dyDescent="0.55000000000000004">
      <c r="AF316" s="37"/>
    </row>
    <row r="317" spans="32:32" x14ac:dyDescent="0.55000000000000004">
      <c r="AF317" s="37"/>
    </row>
    <row r="318" spans="32:32" x14ac:dyDescent="0.55000000000000004">
      <c r="AF318" s="37"/>
    </row>
    <row r="319" spans="32:32" x14ac:dyDescent="0.55000000000000004">
      <c r="AF319" s="37"/>
    </row>
    <row r="320" spans="32:32" x14ac:dyDescent="0.55000000000000004">
      <c r="AF320" s="37"/>
    </row>
    <row r="321" spans="32:32" x14ac:dyDescent="0.55000000000000004">
      <c r="AF321" s="37"/>
    </row>
    <row r="322" spans="32:32" x14ac:dyDescent="0.55000000000000004">
      <c r="AF322" s="37"/>
    </row>
    <row r="323" spans="32:32" x14ac:dyDescent="0.55000000000000004">
      <c r="AF323" s="37"/>
    </row>
    <row r="324" spans="32:32" x14ac:dyDescent="0.55000000000000004">
      <c r="AF324" s="37"/>
    </row>
    <row r="325" spans="32:32" x14ac:dyDescent="0.55000000000000004">
      <c r="AF325" s="37"/>
    </row>
    <row r="326" spans="32:32" x14ac:dyDescent="0.55000000000000004">
      <c r="AF326" s="37"/>
    </row>
    <row r="327" spans="32:32" x14ac:dyDescent="0.55000000000000004">
      <c r="AF327" s="37"/>
    </row>
    <row r="328" spans="32:32" x14ac:dyDescent="0.55000000000000004">
      <c r="AF328" s="37"/>
    </row>
    <row r="329" spans="32:32" x14ac:dyDescent="0.55000000000000004">
      <c r="AF329" s="37"/>
    </row>
    <row r="330" spans="32:32" x14ac:dyDescent="0.55000000000000004">
      <c r="AF330" s="37"/>
    </row>
    <row r="331" spans="32:32" x14ac:dyDescent="0.55000000000000004">
      <c r="AF331" s="37"/>
    </row>
    <row r="332" spans="32:32" x14ac:dyDescent="0.55000000000000004">
      <c r="AF332" s="37"/>
    </row>
    <row r="333" spans="32:32" x14ac:dyDescent="0.55000000000000004">
      <c r="AF333" s="37"/>
    </row>
    <row r="334" spans="32:32" x14ac:dyDescent="0.55000000000000004">
      <c r="AF334" s="37"/>
    </row>
    <row r="335" spans="32:32" x14ac:dyDescent="0.55000000000000004">
      <c r="AF335" s="37"/>
    </row>
    <row r="336" spans="32:32" x14ac:dyDescent="0.55000000000000004">
      <c r="AF336" s="37"/>
    </row>
    <row r="337" spans="32:32" x14ac:dyDescent="0.55000000000000004">
      <c r="AF337" s="37"/>
    </row>
    <row r="338" spans="32:32" x14ac:dyDescent="0.55000000000000004">
      <c r="AF338" s="37"/>
    </row>
    <row r="339" spans="32:32" x14ac:dyDescent="0.55000000000000004">
      <c r="AF339" s="37"/>
    </row>
    <row r="340" spans="32:32" x14ac:dyDescent="0.55000000000000004">
      <c r="AF340" s="37"/>
    </row>
    <row r="341" spans="32:32" x14ac:dyDescent="0.55000000000000004">
      <c r="AF341" s="37"/>
    </row>
    <row r="342" spans="32:32" x14ac:dyDescent="0.55000000000000004">
      <c r="AF342" s="37"/>
    </row>
    <row r="343" spans="32:32" x14ac:dyDescent="0.55000000000000004">
      <c r="AF343" s="37"/>
    </row>
    <row r="344" spans="32:32" x14ac:dyDescent="0.55000000000000004">
      <c r="AF344" s="37"/>
    </row>
    <row r="345" spans="32:32" x14ac:dyDescent="0.55000000000000004">
      <c r="AF345" s="37"/>
    </row>
    <row r="346" spans="32:32" x14ac:dyDescent="0.55000000000000004">
      <c r="AF346" s="37"/>
    </row>
    <row r="347" spans="32:32" x14ac:dyDescent="0.55000000000000004">
      <c r="AF347" s="37"/>
    </row>
    <row r="348" spans="32:32" x14ac:dyDescent="0.55000000000000004">
      <c r="AF348" s="37"/>
    </row>
    <row r="349" spans="32:32" x14ac:dyDescent="0.55000000000000004">
      <c r="AF349" s="37"/>
    </row>
    <row r="350" spans="32:32" x14ac:dyDescent="0.55000000000000004">
      <c r="AF350" s="37"/>
    </row>
    <row r="351" spans="32:32" x14ac:dyDescent="0.55000000000000004">
      <c r="AF351" s="37"/>
    </row>
    <row r="352" spans="32:32" x14ac:dyDescent="0.55000000000000004">
      <c r="AF352" s="37"/>
    </row>
    <row r="353" spans="32:32" x14ac:dyDescent="0.55000000000000004">
      <c r="AF353" s="37"/>
    </row>
    <row r="354" spans="32:32" x14ac:dyDescent="0.55000000000000004">
      <c r="AF354" s="37"/>
    </row>
    <row r="355" spans="32:32" x14ac:dyDescent="0.55000000000000004">
      <c r="AF355" s="37"/>
    </row>
    <row r="356" spans="32:32" x14ac:dyDescent="0.55000000000000004">
      <c r="AF356" s="37"/>
    </row>
    <row r="357" spans="32:32" x14ac:dyDescent="0.55000000000000004">
      <c r="AF357" s="37"/>
    </row>
    <row r="358" spans="32:32" x14ac:dyDescent="0.55000000000000004">
      <c r="AF358" s="37"/>
    </row>
    <row r="359" spans="32:32" x14ac:dyDescent="0.55000000000000004">
      <c r="AF359" s="37"/>
    </row>
    <row r="360" spans="32:32" x14ac:dyDescent="0.55000000000000004">
      <c r="AF360" s="37"/>
    </row>
    <row r="361" spans="32:32" x14ac:dyDescent="0.55000000000000004">
      <c r="AF361" s="37"/>
    </row>
    <row r="362" spans="32:32" x14ac:dyDescent="0.55000000000000004">
      <c r="AF362" s="37"/>
    </row>
    <row r="363" spans="32:32" x14ac:dyDescent="0.55000000000000004">
      <c r="AF363" s="37"/>
    </row>
    <row r="364" spans="32:32" x14ac:dyDescent="0.55000000000000004">
      <c r="AF364" s="37"/>
    </row>
    <row r="365" spans="32:32" x14ac:dyDescent="0.55000000000000004">
      <c r="AF365" s="37"/>
    </row>
    <row r="366" spans="32:32" x14ac:dyDescent="0.55000000000000004">
      <c r="AF366" s="37"/>
    </row>
    <row r="367" spans="32:32" x14ac:dyDescent="0.55000000000000004">
      <c r="AF367" s="37"/>
    </row>
    <row r="368" spans="32:32" x14ac:dyDescent="0.55000000000000004">
      <c r="AF368" s="37"/>
    </row>
    <row r="369" spans="32:32" x14ac:dyDescent="0.55000000000000004">
      <c r="AF369" s="37"/>
    </row>
    <row r="370" spans="32:32" x14ac:dyDescent="0.55000000000000004">
      <c r="AF370" s="37"/>
    </row>
    <row r="371" spans="32:32" x14ac:dyDescent="0.55000000000000004">
      <c r="AF371" s="37"/>
    </row>
    <row r="372" spans="32:32" x14ac:dyDescent="0.55000000000000004">
      <c r="AF372" s="37"/>
    </row>
    <row r="373" spans="32:32" x14ac:dyDescent="0.55000000000000004">
      <c r="AF373" s="37"/>
    </row>
    <row r="374" spans="32:32" x14ac:dyDescent="0.55000000000000004">
      <c r="AF374" s="37"/>
    </row>
    <row r="375" spans="32:32" x14ac:dyDescent="0.55000000000000004">
      <c r="AF375" s="37"/>
    </row>
    <row r="376" spans="32:32" x14ac:dyDescent="0.55000000000000004">
      <c r="AF376" s="37"/>
    </row>
    <row r="377" spans="32:32" x14ac:dyDescent="0.55000000000000004">
      <c r="AF377" s="37"/>
    </row>
    <row r="378" spans="32:32" x14ac:dyDescent="0.55000000000000004">
      <c r="AF378" s="37"/>
    </row>
    <row r="379" spans="32:32" x14ac:dyDescent="0.55000000000000004">
      <c r="AF379" s="37"/>
    </row>
    <row r="380" spans="32:32" x14ac:dyDescent="0.55000000000000004">
      <c r="AF380" s="37"/>
    </row>
    <row r="381" spans="32:32" x14ac:dyDescent="0.55000000000000004">
      <c r="AF381" s="37"/>
    </row>
    <row r="382" spans="32:32" x14ac:dyDescent="0.55000000000000004">
      <c r="AF382" s="37"/>
    </row>
    <row r="383" spans="32:32" x14ac:dyDescent="0.55000000000000004">
      <c r="AF383" s="37"/>
    </row>
    <row r="384" spans="32:32" x14ac:dyDescent="0.55000000000000004">
      <c r="AF384" s="37"/>
    </row>
    <row r="385" spans="32:32" x14ac:dyDescent="0.55000000000000004">
      <c r="AF385" s="37"/>
    </row>
    <row r="386" spans="32:32" x14ac:dyDescent="0.55000000000000004">
      <c r="AF386" s="37"/>
    </row>
    <row r="387" spans="32:32" x14ac:dyDescent="0.55000000000000004">
      <c r="AF387" s="37"/>
    </row>
    <row r="388" spans="32:32" x14ac:dyDescent="0.55000000000000004">
      <c r="AF388" s="37"/>
    </row>
    <row r="389" spans="32:32" x14ac:dyDescent="0.55000000000000004">
      <c r="AF389" s="37"/>
    </row>
    <row r="390" spans="32:32" x14ac:dyDescent="0.55000000000000004">
      <c r="AF390" s="37"/>
    </row>
    <row r="391" spans="32:32" x14ac:dyDescent="0.55000000000000004">
      <c r="AF391" s="37"/>
    </row>
    <row r="392" spans="32:32" x14ac:dyDescent="0.55000000000000004">
      <c r="AF392" s="37"/>
    </row>
    <row r="393" spans="32:32" x14ac:dyDescent="0.55000000000000004">
      <c r="AF393" s="37"/>
    </row>
    <row r="394" spans="32:32" x14ac:dyDescent="0.55000000000000004">
      <c r="AF394" s="37"/>
    </row>
    <row r="395" spans="32:32" x14ac:dyDescent="0.55000000000000004">
      <c r="AF395" s="37"/>
    </row>
    <row r="396" spans="32:32" x14ac:dyDescent="0.55000000000000004">
      <c r="AF396" s="37"/>
    </row>
    <row r="397" spans="32:32" x14ac:dyDescent="0.55000000000000004">
      <c r="AF397" s="37"/>
    </row>
    <row r="398" spans="32:32" x14ac:dyDescent="0.55000000000000004">
      <c r="AF398" s="37"/>
    </row>
    <row r="399" spans="32:32" x14ac:dyDescent="0.55000000000000004">
      <c r="AF399" s="37"/>
    </row>
    <row r="400" spans="32:32" x14ac:dyDescent="0.55000000000000004">
      <c r="AF400" s="37"/>
    </row>
    <row r="401" spans="32:32" x14ac:dyDescent="0.55000000000000004">
      <c r="AF401" s="37"/>
    </row>
    <row r="402" spans="32:32" x14ac:dyDescent="0.55000000000000004">
      <c r="AF402" s="37"/>
    </row>
    <row r="403" spans="32:32" x14ac:dyDescent="0.55000000000000004">
      <c r="AF403" s="37"/>
    </row>
    <row r="404" spans="32:32" x14ac:dyDescent="0.55000000000000004">
      <c r="AF404" s="37"/>
    </row>
    <row r="405" spans="32:32" x14ac:dyDescent="0.55000000000000004">
      <c r="AF405" s="37"/>
    </row>
    <row r="406" spans="32:32" x14ac:dyDescent="0.55000000000000004">
      <c r="AF406" s="37"/>
    </row>
    <row r="407" spans="32:32" x14ac:dyDescent="0.55000000000000004">
      <c r="AF407" s="37"/>
    </row>
    <row r="408" spans="32:32" x14ac:dyDescent="0.55000000000000004">
      <c r="AF408" s="37"/>
    </row>
    <row r="409" spans="32:32" x14ac:dyDescent="0.55000000000000004">
      <c r="AF409" s="37"/>
    </row>
    <row r="410" spans="32:32" x14ac:dyDescent="0.55000000000000004">
      <c r="AF410" s="37"/>
    </row>
    <row r="411" spans="32:32" x14ac:dyDescent="0.55000000000000004">
      <c r="AF411" s="37"/>
    </row>
    <row r="412" spans="32:32" x14ac:dyDescent="0.55000000000000004">
      <c r="AF412" s="37"/>
    </row>
    <row r="413" spans="32:32" x14ac:dyDescent="0.55000000000000004">
      <c r="AF413" s="37"/>
    </row>
    <row r="414" spans="32:32" x14ac:dyDescent="0.55000000000000004">
      <c r="AF414" s="37"/>
    </row>
    <row r="415" spans="32:32" x14ac:dyDescent="0.55000000000000004">
      <c r="AF415" s="37"/>
    </row>
    <row r="416" spans="32:32" x14ac:dyDescent="0.55000000000000004">
      <c r="AF416" s="37"/>
    </row>
    <row r="417" spans="32:32" x14ac:dyDescent="0.55000000000000004">
      <c r="AF417" s="37"/>
    </row>
    <row r="418" spans="32:32" x14ac:dyDescent="0.55000000000000004">
      <c r="AF418" s="37"/>
    </row>
    <row r="419" spans="32:32" x14ac:dyDescent="0.55000000000000004">
      <c r="AF419" s="37"/>
    </row>
    <row r="420" spans="32:32" x14ac:dyDescent="0.55000000000000004">
      <c r="AF420" s="37"/>
    </row>
    <row r="421" spans="32:32" x14ac:dyDescent="0.55000000000000004">
      <c r="AF421" s="37"/>
    </row>
    <row r="422" spans="32:32" x14ac:dyDescent="0.55000000000000004">
      <c r="AF422" s="37"/>
    </row>
    <row r="423" spans="32:32" x14ac:dyDescent="0.55000000000000004">
      <c r="AF423" s="37"/>
    </row>
    <row r="424" spans="32:32" x14ac:dyDescent="0.55000000000000004">
      <c r="AF424" s="37"/>
    </row>
    <row r="425" spans="32:32" x14ac:dyDescent="0.55000000000000004">
      <c r="AF425" s="37"/>
    </row>
    <row r="426" spans="32:32" x14ac:dyDescent="0.55000000000000004">
      <c r="AF426" s="37"/>
    </row>
    <row r="427" spans="32:32" x14ac:dyDescent="0.55000000000000004">
      <c r="AF427" s="37"/>
    </row>
    <row r="428" spans="32:32" x14ac:dyDescent="0.55000000000000004">
      <c r="AF428" s="37"/>
    </row>
    <row r="429" spans="32:32" x14ac:dyDescent="0.55000000000000004">
      <c r="AF429" s="37"/>
    </row>
    <row r="430" spans="32:32" x14ac:dyDescent="0.55000000000000004">
      <c r="AF430" s="37"/>
    </row>
    <row r="431" spans="32:32" x14ac:dyDescent="0.55000000000000004">
      <c r="AF431" s="37"/>
    </row>
    <row r="432" spans="32:32" x14ac:dyDescent="0.55000000000000004">
      <c r="AF432" s="37"/>
    </row>
    <row r="433" spans="32:32" x14ac:dyDescent="0.55000000000000004">
      <c r="AF433" s="37"/>
    </row>
    <row r="434" spans="32:32" x14ac:dyDescent="0.55000000000000004">
      <c r="AF434" s="37"/>
    </row>
    <row r="435" spans="32:32" x14ac:dyDescent="0.55000000000000004">
      <c r="AF435" s="37"/>
    </row>
    <row r="436" spans="32:32" x14ac:dyDescent="0.55000000000000004">
      <c r="AF436" s="37"/>
    </row>
    <row r="437" spans="32:32" x14ac:dyDescent="0.55000000000000004">
      <c r="AF437" s="37"/>
    </row>
    <row r="438" spans="32:32" x14ac:dyDescent="0.55000000000000004">
      <c r="AF438" s="37"/>
    </row>
    <row r="439" spans="32:32" x14ac:dyDescent="0.55000000000000004">
      <c r="AF439" s="37"/>
    </row>
    <row r="440" spans="32:32" x14ac:dyDescent="0.55000000000000004">
      <c r="AF440" s="37"/>
    </row>
    <row r="441" spans="32:32" x14ac:dyDescent="0.55000000000000004">
      <c r="AF441" s="37"/>
    </row>
    <row r="442" spans="32:32" x14ac:dyDescent="0.55000000000000004">
      <c r="AF442" s="37"/>
    </row>
    <row r="443" spans="32:32" x14ac:dyDescent="0.55000000000000004">
      <c r="AF443" s="37"/>
    </row>
    <row r="444" spans="32:32" x14ac:dyDescent="0.55000000000000004">
      <c r="AF444" s="37"/>
    </row>
    <row r="445" spans="32:32" x14ac:dyDescent="0.55000000000000004">
      <c r="AF445" s="37"/>
    </row>
    <row r="446" spans="32:32" x14ac:dyDescent="0.55000000000000004">
      <c r="AF446" s="37"/>
    </row>
    <row r="447" spans="32:32" x14ac:dyDescent="0.55000000000000004">
      <c r="AF447" s="37"/>
    </row>
    <row r="448" spans="32:32" x14ac:dyDescent="0.55000000000000004">
      <c r="AF448" s="37"/>
    </row>
    <row r="449" spans="32:32" x14ac:dyDescent="0.55000000000000004">
      <c r="AF449" s="37"/>
    </row>
    <row r="450" spans="32:32" x14ac:dyDescent="0.55000000000000004">
      <c r="AF450" s="37"/>
    </row>
    <row r="451" spans="32:32" x14ac:dyDescent="0.55000000000000004">
      <c r="AF451" s="37"/>
    </row>
    <row r="452" spans="32:32" x14ac:dyDescent="0.55000000000000004">
      <c r="AF452" s="37"/>
    </row>
    <row r="453" spans="32:32" x14ac:dyDescent="0.55000000000000004">
      <c r="AF453" s="37"/>
    </row>
    <row r="454" spans="32:32" x14ac:dyDescent="0.55000000000000004">
      <c r="AF454" s="37"/>
    </row>
    <row r="455" spans="32:32" x14ac:dyDescent="0.55000000000000004">
      <c r="AF455" s="37"/>
    </row>
    <row r="456" spans="32:32" x14ac:dyDescent="0.55000000000000004">
      <c r="AF456" s="37"/>
    </row>
    <row r="457" spans="32:32" x14ac:dyDescent="0.55000000000000004">
      <c r="AF457" s="37"/>
    </row>
    <row r="458" spans="32:32" x14ac:dyDescent="0.55000000000000004">
      <c r="AF458" s="37"/>
    </row>
    <row r="459" spans="32:32" x14ac:dyDescent="0.55000000000000004">
      <c r="AF459" s="37"/>
    </row>
    <row r="460" spans="32:32" x14ac:dyDescent="0.55000000000000004">
      <c r="AF460" s="37"/>
    </row>
    <row r="461" spans="32:32" x14ac:dyDescent="0.55000000000000004">
      <c r="AF461" s="37"/>
    </row>
    <row r="462" spans="32:32" x14ac:dyDescent="0.55000000000000004">
      <c r="AF462" s="37"/>
    </row>
    <row r="463" spans="32:32" x14ac:dyDescent="0.55000000000000004">
      <c r="AF463" s="37"/>
    </row>
    <row r="464" spans="32:32" x14ac:dyDescent="0.55000000000000004">
      <c r="AF464" s="37"/>
    </row>
    <row r="465" spans="32:32" x14ac:dyDescent="0.55000000000000004">
      <c r="AF465" s="37"/>
    </row>
    <row r="466" spans="32:32" x14ac:dyDescent="0.55000000000000004">
      <c r="AF466" s="37"/>
    </row>
    <row r="467" spans="32:32" x14ac:dyDescent="0.55000000000000004">
      <c r="AF467" s="37"/>
    </row>
    <row r="468" spans="32:32" x14ac:dyDescent="0.55000000000000004">
      <c r="AF468" s="37"/>
    </row>
    <row r="469" spans="32:32" x14ac:dyDescent="0.55000000000000004">
      <c r="AF469" s="37"/>
    </row>
    <row r="470" spans="32:32" x14ac:dyDescent="0.55000000000000004">
      <c r="AF470" s="37"/>
    </row>
    <row r="471" spans="32:32" x14ac:dyDescent="0.55000000000000004">
      <c r="AF471" s="37"/>
    </row>
    <row r="472" spans="32:32" x14ac:dyDescent="0.55000000000000004">
      <c r="AF472" s="37"/>
    </row>
    <row r="473" spans="32:32" x14ac:dyDescent="0.55000000000000004">
      <c r="AF473" s="37"/>
    </row>
    <row r="474" spans="32:32" x14ac:dyDescent="0.55000000000000004">
      <c r="AF474" s="37"/>
    </row>
    <row r="475" spans="32:32" x14ac:dyDescent="0.55000000000000004">
      <c r="AF475" s="37"/>
    </row>
    <row r="476" spans="32:32" x14ac:dyDescent="0.55000000000000004">
      <c r="AF476" s="37"/>
    </row>
    <row r="477" spans="32:32" x14ac:dyDescent="0.55000000000000004">
      <c r="AF477" s="37"/>
    </row>
    <row r="478" spans="32:32" x14ac:dyDescent="0.55000000000000004">
      <c r="AF478" s="37"/>
    </row>
    <row r="479" spans="32:32" x14ac:dyDescent="0.55000000000000004">
      <c r="AF479" s="37"/>
    </row>
    <row r="480" spans="32:32" x14ac:dyDescent="0.55000000000000004">
      <c r="AF480" s="37"/>
    </row>
    <row r="481" spans="32:32" x14ac:dyDescent="0.55000000000000004">
      <c r="AF481" s="37"/>
    </row>
    <row r="482" spans="32:32" x14ac:dyDescent="0.55000000000000004">
      <c r="AF482" s="37"/>
    </row>
    <row r="483" spans="32:32" x14ac:dyDescent="0.55000000000000004">
      <c r="AF483" s="37"/>
    </row>
    <row r="484" spans="32:32" x14ac:dyDescent="0.55000000000000004">
      <c r="AF484" s="37"/>
    </row>
    <row r="485" spans="32:32" x14ac:dyDescent="0.55000000000000004">
      <c r="AF485" s="37"/>
    </row>
    <row r="486" spans="32:32" x14ac:dyDescent="0.55000000000000004">
      <c r="AF486" s="37"/>
    </row>
    <row r="487" spans="32:32" x14ac:dyDescent="0.55000000000000004">
      <c r="AF487" s="37"/>
    </row>
    <row r="488" spans="32:32" x14ac:dyDescent="0.55000000000000004">
      <c r="AF488" s="37"/>
    </row>
    <row r="489" spans="32:32" x14ac:dyDescent="0.55000000000000004">
      <c r="AF489" s="37"/>
    </row>
    <row r="490" spans="32:32" x14ac:dyDescent="0.55000000000000004">
      <c r="AF490" s="37"/>
    </row>
    <row r="491" spans="32:32" x14ac:dyDescent="0.55000000000000004">
      <c r="AF491" s="37"/>
    </row>
    <row r="492" spans="32:32" x14ac:dyDescent="0.55000000000000004">
      <c r="AF492" s="37"/>
    </row>
    <row r="493" spans="32:32" x14ac:dyDescent="0.55000000000000004">
      <c r="AF493" s="37"/>
    </row>
    <row r="494" spans="32:32" x14ac:dyDescent="0.55000000000000004">
      <c r="AF494" s="37"/>
    </row>
    <row r="495" spans="32:32" x14ac:dyDescent="0.55000000000000004">
      <c r="AF495" s="37"/>
    </row>
    <row r="496" spans="32:32" x14ac:dyDescent="0.55000000000000004">
      <c r="AF496" s="37"/>
    </row>
    <row r="497" spans="32:32" x14ac:dyDescent="0.55000000000000004">
      <c r="AF497" s="37"/>
    </row>
    <row r="498" spans="32:32" x14ac:dyDescent="0.55000000000000004">
      <c r="AF498" s="37"/>
    </row>
    <row r="499" spans="32:32" x14ac:dyDescent="0.55000000000000004">
      <c r="AF499" s="37"/>
    </row>
    <row r="500" spans="32:32" x14ac:dyDescent="0.55000000000000004">
      <c r="AF500" s="37"/>
    </row>
    <row r="501" spans="32:32" x14ac:dyDescent="0.55000000000000004">
      <c r="AF501" s="37"/>
    </row>
    <row r="502" spans="32:32" x14ac:dyDescent="0.55000000000000004">
      <c r="AF502" s="37"/>
    </row>
    <row r="503" spans="32:32" x14ac:dyDescent="0.55000000000000004">
      <c r="AF503" s="37"/>
    </row>
    <row r="504" spans="32:32" x14ac:dyDescent="0.55000000000000004">
      <c r="AF504" s="37"/>
    </row>
    <row r="505" spans="32:32" x14ac:dyDescent="0.55000000000000004">
      <c r="AF505" s="37"/>
    </row>
    <row r="506" spans="32:32" x14ac:dyDescent="0.55000000000000004">
      <c r="AF506" s="37"/>
    </row>
    <row r="507" spans="32:32" x14ac:dyDescent="0.55000000000000004">
      <c r="AF507" s="37"/>
    </row>
    <row r="508" spans="32:32" x14ac:dyDescent="0.55000000000000004">
      <c r="AF508" s="37"/>
    </row>
    <row r="509" spans="32:32" x14ac:dyDescent="0.55000000000000004">
      <c r="AF509" s="37"/>
    </row>
    <row r="510" spans="32:32" x14ac:dyDescent="0.55000000000000004">
      <c r="AF510" s="37"/>
    </row>
    <row r="511" spans="32:32" x14ac:dyDescent="0.55000000000000004">
      <c r="AF511" s="37"/>
    </row>
    <row r="512" spans="32:32" x14ac:dyDescent="0.55000000000000004">
      <c r="AF512" s="37"/>
    </row>
    <row r="513" spans="32:32" x14ac:dyDescent="0.55000000000000004">
      <c r="AF513" s="37"/>
    </row>
    <row r="514" spans="32:32" x14ac:dyDescent="0.55000000000000004">
      <c r="AF514" s="37"/>
    </row>
    <row r="515" spans="32:32" x14ac:dyDescent="0.55000000000000004">
      <c r="AF515" s="37"/>
    </row>
    <row r="516" spans="32:32" x14ac:dyDescent="0.55000000000000004">
      <c r="AF516" s="37"/>
    </row>
    <row r="517" spans="32:32" x14ac:dyDescent="0.55000000000000004">
      <c r="AF517" s="37"/>
    </row>
    <row r="518" spans="32:32" x14ac:dyDescent="0.55000000000000004">
      <c r="AF518" s="37"/>
    </row>
    <row r="519" spans="32:32" x14ac:dyDescent="0.55000000000000004">
      <c r="AF519" s="37"/>
    </row>
    <row r="520" spans="32:32" x14ac:dyDescent="0.55000000000000004">
      <c r="AF520" s="37"/>
    </row>
    <row r="521" spans="32:32" x14ac:dyDescent="0.55000000000000004">
      <c r="AF521" s="37"/>
    </row>
    <row r="522" spans="32:32" x14ac:dyDescent="0.55000000000000004">
      <c r="AF522" s="37"/>
    </row>
    <row r="523" spans="32:32" x14ac:dyDescent="0.55000000000000004">
      <c r="AF523" s="37"/>
    </row>
    <row r="524" spans="32:32" x14ac:dyDescent="0.55000000000000004">
      <c r="AF524" s="37"/>
    </row>
    <row r="525" spans="32:32" x14ac:dyDescent="0.55000000000000004">
      <c r="AF525" s="37"/>
    </row>
    <row r="526" spans="32:32" x14ac:dyDescent="0.55000000000000004">
      <c r="AF526" s="37"/>
    </row>
    <row r="527" spans="32:32" x14ac:dyDescent="0.55000000000000004">
      <c r="AF527" s="37"/>
    </row>
    <row r="528" spans="32:32" x14ac:dyDescent="0.55000000000000004">
      <c r="AF528" s="37"/>
    </row>
    <row r="529" spans="32:32" x14ac:dyDescent="0.55000000000000004">
      <c r="AF529" s="37"/>
    </row>
    <row r="530" spans="32:32" x14ac:dyDescent="0.55000000000000004">
      <c r="AF530" s="37"/>
    </row>
    <row r="531" spans="32:32" x14ac:dyDescent="0.55000000000000004">
      <c r="AF531" s="37"/>
    </row>
    <row r="532" spans="32:32" x14ac:dyDescent="0.55000000000000004">
      <c r="AF532" s="37"/>
    </row>
    <row r="533" spans="32:32" x14ac:dyDescent="0.55000000000000004">
      <c r="AF533" s="37"/>
    </row>
    <row r="534" spans="32:32" x14ac:dyDescent="0.55000000000000004">
      <c r="AF534" s="37"/>
    </row>
    <row r="535" spans="32:32" x14ac:dyDescent="0.55000000000000004">
      <c r="AF535" s="37"/>
    </row>
    <row r="536" spans="32:32" x14ac:dyDescent="0.55000000000000004">
      <c r="AF536" s="37"/>
    </row>
    <row r="537" spans="32:32" x14ac:dyDescent="0.55000000000000004">
      <c r="AF537" s="37"/>
    </row>
    <row r="538" spans="32:32" x14ac:dyDescent="0.55000000000000004">
      <c r="AF538" s="37"/>
    </row>
    <row r="539" spans="32:32" x14ac:dyDescent="0.55000000000000004">
      <c r="AF539" s="37"/>
    </row>
    <row r="540" spans="32:32" x14ac:dyDescent="0.55000000000000004">
      <c r="AF540" s="37"/>
    </row>
    <row r="541" spans="32:32" x14ac:dyDescent="0.55000000000000004">
      <c r="AF541" s="37"/>
    </row>
    <row r="542" spans="32:32" x14ac:dyDescent="0.55000000000000004">
      <c r="AF542" s="37"/>
    </row>
    <row r="543" spans="32:32" x14ac:dyDescent="0.55000000000000004">
      <c r="AF543" s="37"/>
    </row>
    <row r="544" spans="32:32" x14ac:dyDescent="0.55000000000000004">
      <c r="AF544" s="37"/>
    </row>
    <row r="545" spans="32:32" x14ac:dyDescent="0.55000000000000004">
      <c r="AF545" s="37"/>
    </row>
    <row r="546" spans="32:32" x14ac:dyDescent="0.55000000000000004">
      <c r="AF546" s="37"/>
    </row>
    <row r="547" spans="32:32" x14ac:dyDescent="0.55000000000000004">
      <c r="AF547" s="37"/>
    </row>
    <row r="548" spans="32:32" x14ac:dyDescent="0.55000000000000004">
      <c r="AF548" s="37"/>
    </row>
    <row r="549" spans="32:32" x14ac:dyDescent="0.55000000000000004">
      <c r="AF549" s="37"/>
    </row>
    <row r="550" spans="32:32" x14ac:dyDescent="0.55000000000000004">
      <c r="AF550" s="37"/>
    </row>
    <row r="551" spans="32:32" x14ac:dyDescent="0.55000000000000004">
      <c r="AF551" s="37"/>
    </row>
    <row r="552" spans="32:32" x14ac:dyDescent="0.55000000000000004">
      <c r="AF552" s="37"/>
    </row>
    <row r="553" spans="32:32" x14ac:dyDescent="0.55000000000000004">
      <c r="AF553" s="37"/>
    </row>
    <row r="554" spans="32:32" x14ac:dyDescent="0.55000000000000004">
      <c r="AF554" s="37"/>
    </row>
    <row r="555" spans="32:32" x14ac:dyDescent="0.55000000000000004">
      <c r="AF555" s="37"/>
    </row>
    <row r="556" spans="32:32" x14ac:dyDescent="0.55000000000000004">
      <c r="AF556" s="37"/>
    </row>
    <row r="557" spans="32:32" x14ac:dyDescent="0.55000000000000004">
      <c r="AF557" s="37"/>
    </row>
    <row r="558" spans="32:32" x14ac:dyDescent="0.55000000000000004">
      <c r="AF558" s="37"/>
    </row>
    <row r="559" spans="32:32" x14ac:dyDescent="0.55000000000000004">
      <c r="AF559" s="37"/>
    </row>
    <row r="560" spans="32:32" x14ac:dyDescent="0.55000000000000004">
      <c r="AF560" s="37"/>
    </row>
    <row r="561" spans="32:32" x14ac:dyDescent="0.55000000000000004">
      <c r="AF561" s="37"/>
    </row>
    <row r="562" spans="32:32" x14ac:dyDescent="0.55000000000000004">
      <c r="AF562" s="37"/>
    </row>
    <row r="563" spans="32:32" x14ac:dyDescent="0.55000000000000004">
      <c r="AF563" s="37"/>
    </row>
    <row r="564" spans="32:32" x14ac:dyDescent="0.55000000000000004">
      <c r="AF564" s="37"/>
    </row>
    <row r="565" spans="32:32" x14ac:dyDescent="0.55000000000000004">
      <c r="AF565" s="37"/>
    </row>
    <row r="566" spans="32:32" x14ac:dyDescent="0.55000000000000004">
      <c r="AF566" s="37"/>
    </row>
    <row r="567" spans="32:32" x14ac:dyDescent="0.55000000000000004">
      <c r="AF567" s="37"/>
    </row>
    <row r="568" spans="32:32" x14ac:dyDescent="0.55000000000000004">
      <c r="AF568" s="37"/>
    </row>
    <row r="569" spans="32:32" x14ac:dyDescent="0.55000000000000004">
      <c r="AF569" s="37"/>
    </row>
    <row r="570" spans="32:32" x14ac:dyDescent="0.55000000000000004">
      <c r="AF570" s="37"/>
    </row>
    <row r="571" spans="32:32" x14ac:dyDescent="0.55000000000000004">
      <c r="AF571" s="37"/>
    </row>
    <row r="572" spans="32:32" x14ac:dyDescent="0.55000000000000004">
      <c r="AF572" s="37"/>
    </row>
    <row r="573" spans="32:32" x14ac:dyDescent="0.55000000000000004">
      <c r="AF573" s="37"/>
    </row>
    <row r="574" spans="32:32" x14ac:dyDescent="0.55000000000000004">
      <c r="AF574" s="37"/>
    </row>
    <row r="575" spans="32:32" x14ac:dyDescent="0.55000000000000004">
      <c r="AF575" s="37"/>
    </row>
    <row r="576" spans="32:32" x14ac:dyDescent="0.55000000000000004">
      <c r="AF576" s="37"/>
    </row>
    <row r="577" spans="32:32" x14ac:dyDescent="0.55000000000000004">
      <c r="AF577" s="37"/>
    </row>
    <row r="578" spans="32:32" x14ac:dyDescent="0.55000000000000004">
      <c r="AF578" s="37"/>
    </row>
    <row r="579" spans="32:32" x14ac:dyDescent="0.55000000000000004">
      <c r="AF579" s="37"/>
    </row>
    <row r="580" spans="32:32" x14ac:dyDescent="0.55000000000000004">
      <c r="AF580" s="37"/>
    </row>
    <row r="581" spans="32:32" x14ac:dyDescent="0.55000000000000004">
      <c r="AF581" s="37"/>
    </row>
    <row r="582" spans="32:32" x14ac:dyDescent="0.55000000000000004">
      <c r="AF582" s="37"/>
    </row>
    <row r="583" spans="32:32" x14ac:dyDescent="0.55000000000000004">
      <c r="AF583" s="37"/>
    </row>
    <row r="584" spans="32:32" x14ac:dyDescent="0.55000000000000004">
      <c r="AF584" s="37"/>
    </row>
    <row r="585" spans="32:32" x14ac:dyDescent="0.55000000000000004">
      <c r="AF585" s="37"/>
    </row>
    <row r="586" spans="32:32" x14ac:dyDescent="0.55000000000000004">
      <c r="AF586" s="37"/>
    </row>
    <row r="587" spans="32:32" x14ac:dyDescent="0.55000000000000004">
      <c r="AF587" s="37"/>
    </row>
    <row r="588" spans="32:32" x14ac:dyDescent="0.55000000000000004">
      <c r="AF588" s="37"/>
    </row>
    <row r="589" spans="32:32" x14ac:dyDescent="0.55000000000000004">
      <c r="AF589" s="37"/>
    </row>
    <row r="590" spans="32:32" x14ac:dyDescent="0.55000000000000004">
      <c r="AF590" s="37"/>
    </row>
    <row r="591" spans="32:32" x14ac:dyDescent="0.55000000000000004">
      <c r="AF591" s="37"/>
    </row>
    <row r="592" spans="32:32" x14ac:dyDescent="0.55000000000000004">
      <c r="AF592" s="37"/>
    </row>
    <row r="593" spans="32:32" x14ac:dyDescent="0.55000000000000004">
      <c r="AF593" s="37"/>
    </row>
    <row r="594" spans="32:32" x14ac:dyDescent="0.55000000000000004">
      <c r="AF594" s="37"/>
    </row>
    <row r="595" spans="32:32" x14ac:dyDescent="0.55000000000000004">
      <c r="AF595" s="37"/>
    </row>
    <row r="596" spans="32:32" x14ac:dyDescent="0.55000000000000004">
      <c r="AF596" s="37"/>
    </row>
    <row r="597" spans="32:32" x14ac:dyDescent="0.55000000000000004">
      <c r="AF597" s="37"/>
    </row>
    <row r="598" spans="32:32" x14ac:dyDescent="0.55000000000000004">
      <c r="AF598" s="37"/>
    </row>
    <row r="599" spans="32:32" x14ac:dyDescent="0.55000000000000004">
      <c r="AF599" s="37"/>
    </row>
    <row r="600" spans="32:32" x14ac:dyDescent="0.55000000000000004">
      <c r="AF600" s="37"/>
    </row>
    <row r="601" spans="32:32" x14ac:dyDescent="0.55000000000000004">
      <c r="AF601" s="37"/>
    </row>
    <row r="602" spans="32:32" x14ac:dyDescent="0.55000000000000004">
      <c r="AF602" s="37"/>
    </row>
    <row r="603" spans="32:32" x14ac:dyDescent="0.55000000000000004">
      <c r="AF603" s="37"/>
    </row>
    <row r="604" spans="32:32" x14ac:dyDescent="0.55000000000000004">
      <c r="AF604" s="37"/>
    </row>
    <row r="605" spans="32:32" x14ac:dyDescent="0.55000000000000004">
      <c r="AF605" s="37"/>
    </row>
    <row r="606" spans="32:32" x14ac:dyDescent="0.55000000000000004">
      <c r="AF606" s="37"/>
    </row>
    <row r="607" spans="32:32" x14ac:dyDescent="0.55000000000000004">
      <c r="AF607" s="37"/>
    </row>
    <row r="608" spans="32:32" x14ac:dyDescent="0.55000000000000004">
      <c r="AF608" s="37"/>
    </row>
    <row r="609" spans="32:32" x14ac:dyDescent="0.55000000000000004">
      <c r="AF609" s="37"/>
    </row>
    <row r="610" spans="32:32" x14ac:dyDescent="0.55000000000000004">
      <c r="AF610" s="37"/>
    </row>
    <row r="611" spans="32:32" x14ac:dyDescent="0.55000000000000004">
      <c r="AF611" s="37"/>
    </row>
    <row r="612" spans="32:32" x14ac:dyDescent="0.55000000000000004">
      <c r="AF612" s="37"/>
    </row>
    <row r="613" spans="32:32" x14ac:dyDescent="0.55000000000000004">
      <c r="AF613" s="37"/>
    </row>
    <row r="614" spans="32:32" x14ac:dyDescent="0.55000000000000004">
      <c r="AF614" s="37"/>
    </row>
    <row r="615" spans="32:32" x14ac:dyDescent="0.55000000000000004">
      <c r="AF615" s="37"/>
    </row>
    <row r="616" spans="32:32" x14ac:dyDescent="0.55000000000000004">
      <c r="AF616" s="37"/>
    </row>
    <row r="617" spans="32:32" x14ac:dyDescent="0.55000000000000004">
      <c r="AF617" s="37"/>
    </row>
    <row r="618" spans="32:32" x14ac:dyDescent="0.55000000000000004">
      <c r="AF618" s="37"/>
    </row>
    <row r="619" spans="32:32" x14ac:dyDescent="0.55000000000000004">
      <c r="AF619" s="37"/>
    </row>
    <row r="620" spans="32:32" x14ac:dyDescent="0.55000000000000004">
      <c r="AF620" s="37"/>
    </row>
    <row r="621" spans="32:32" x14ac:dyDescent="0.55000000000000004">
      <c r="AF621" s="37"/>
    </row>
    <row r="622" spans="32:32" x14ac:dyDescent="0.55000000000000004">
      <c r="AF622" s="37"/>
    </row>
    <row r="623" spans="32:32" x14ac:dyDescent="0.55000000000000004">
      <c r="AF623" s="37"/>
    </row>
    <row r="624" spans="32:32" x14ac:dyDescent="0.55000000000000004">
      <c r="AF624" s="37"/>
    </row>
    <row r="625" spans="32:32" x14ac:dyDescent="0.55000000000000004">
      <c r="AF625" s="37"/>
    </row>
    <row r="626" spans="32:32" x14ac:dyDescent="0.55000000000000004">
      <c r="AF626" s="37"/>
    </row>
    <row r="627" spans="32:32" x14ac:dyDescent="0.55000000000000004">
      <c r="AF627" s="37"/>
    </row>
    <row r="628" spans="32:32" x14ac:dyDescent="0.55000000000000004">
      <c r="AF628" s="37"/>
    </row>
    <row r="629" spans="32:32" x14ac:dyDescent="0.55000000000000004">
      <c r="AF629" s="37"/>
    </row>
    <row r="630" spans="32:32" x14ac:dyDescent="0.55000000000000004">
      <c r="AF630" s="37"/>
    </row>
    <row r="631" spans="32:32" x14ac:dyDescent="0.55000000000000004">
      <c r="AF631" s="37"/>
    </row>
    <row r="632" spans="32:32" x14ac:dyDescent="0.55000000000000004">
      <c r="AF632" s="37"/>
    </row>
    <row r="633" spans="32:32" x14ac:dyDescent="0.55000000000000004">
      <c r="AF633" s="37"/>
    </row>
    <row r="634" spans="32:32" x14ac:dyDescent="0.55000000000000004">
      <c r="AF634" s="37"/>
    </row>
    <row r="635" spans="32:32" x14ac:dyDescent="0.55000000000000004">
      <c r="AF635" s="37"/>
    </row>
    <row r="636" spans="32:32" x14ac:dyDescent="0.55000000000000004">
      <c r="AF636" s="37"/>
    </row>
    <row r="637" spans="32:32" x14ac:dyDescent="0.55000000000000004">
      <c r="AF637" s="37"/>
    </row>
    <row r="638" spans="32:32" x14ac:dyDescent="0.55000000000000004">
      <c r="AF638" s="37"/>
    </row>
    <row r="639" spans="32:32" x14ac:dyDescent="0.55000000000000004">
      <c r="AF639" s="37"/>
    </row>
    <row r="640" spans="32:32" x14ac:dyDescent="0.55000000000000004">
      <c r="AF640" s="37"/>
    </row>
    <row r="641" spans="32:32" x14ac:dyDescent="0.55000000000000004">
      <c r="AF641" s="37"/>
    </row>
    <row r="642" spans="32:32" x14ac:dyDescent="0.55000000000000004">
      <c r="AF642" s="37"/>
    </row>
    <row r="643" spans="32:32" x14ac:dyDescent="0.55000000000000004">
      <c r="AF643" s="37"/>
    </row>
    <row r="644" spans="32:32" x14ac:dyDescent="0.55000000000000004">
      <c r="AF644" s="37"/>
    </row>
    <row r="645" spans="32:32" x14ac:dyDescent="0.55000000000000004">
      <c r="AF645" s="37"/>
    </row>
    <row r="646" spans="32:32" x14ac:dyDescent="0.55000000000000004">
      <c r="AF646" s="37"/>
    </row>
    <row r="647" spans="32:32" x14ac:dyDescent="0.55000000000000004">
      <c r="AF647" s="37"/>
    </row>
    <row r="648" spans="32:32" x14ac:dyDescent="0.55000000000000004">
      <c r="AF648" s="37"/>
    </row>
    <row r="649" spans="32:32" x14ac:dyDescent="0.55000000000000004">
      <c r="AF649" s="37"/>
    </row>
    <row r="650" spans="32:32" x14ac:dyDescent="0.55000000000000004">
      <c r="AF650" s="37"/>
    </row>
    <row r="651" spans="32:32" x14ac:dyDescent="0.55000000000000004">
      <c r="AF651" s="37"/>
    </row>
    <row r="652" spans="32:32" x14ac:dyDescent="0.55000000000000004">
      <c r="AF652" s="37"/>
    </row>
    <row r="653" spans="32:32" x14ac:dyDescent="0.55000000000000004">
      <c r="AF653" s="37"/>
    </row>
    <row r="654" spans="32:32" x14ac:dyDescent="0.55000000000000004">
      <c r="AF654" s="37"/>
    </row>
    <row r="655" spans="32:32" x14ac:dyDescent="0.55000000000000004">
      <c r="AF655" s="37"/>
    </row>
    <row r="656" spans="32:32" x14ac:dyDescent="0.55000000000000004">
      <c r="AF656" s="37"/>
    </row>
    <row r="657" spans="32:32" x14ac:dyDescent="0.55000000000000004">
      <c r="AF657" s="37"/>
    </row>
    <row r="658" spans="32:32" x14ac:dyDescent="0.55000000000000004">
      <c r="AF658" s="37"/>
    </row>
    <row r="659" spans="32:32" x14ac:dyDescent="0.55000000000000004">
      <c r="AF659" s="37"/>
    </row>
    <row r="660" spans="32:32" x14ac:dyDescent="0.55000000000000004">
      <c r="AF660" s="37"/>
    </row>
    <row r="661" spans="32:32" x14ac:dyDescent="0.55000000000000004">
      <c r="AF661" s="37"/>
    </row>
    <row r="662" spans="32:32" x14ac:dyDescent="0.55000000000000004">
      <c r="AF662" s="37"/>
    </row>
    <row r="663" spans="32:32" x14ac:dyDescent="0.55000000000000004">
      <c r="AF663" s="37"/>
    </row>
    <row r="664" spans="32:32" x14ac:dyDescent="0.55000000000000004">
      <c r="AF664" s="37"/>
    </row>
    <row r="665" spans="32:32" x14ac:dyDescent="0.55000000000000004">
      <c r="AF665" s="37"/>
    </row>
    <row r="666" spans="32:32" x14ac:dyDescent="0.55000000000000004">
      <c r="AF666" s="37"/>
    </row>
    <row r="667" spans="32:32" x14ac:dyDescent="0.55000000000000004">
      <c r="AF667" s="37"/>
    </row>
    <row r="668" spans="32:32" x14ac:dyDescent="0.55000000000000004">
      <c r="AF668" s="37"/>
    </row>
    <row r="669" spans="32:32" x14ac:dyDescent="0.55000000000000004">
      <c r="AF669" s="37"/>
    </row>
    <row r="670" spans="32:32" x14ac:dyDescent="0.55000000000000004">
      <c r="AF670" s="37"/>
    </row>
    <row r="671" spans="32:32" x14ac:dyDescent="0.55000000000000004">
      <c r="AF671" s="37"/>
    </row>
    <row r="672" spans="32:32" x14ac:dyDescent="0.55000000000000004">
      <c r="AF672" s="37"/>
    </row>
    <row r="673" spans="32:32" x14ac:dyDescent="0.55000000000000004">
      <c r="AF673" s="37"/>
    </row>
    <row r="674" spans="32:32" x14ac:dyDescent="0.55000000000000004">
      <c r="AF674" s="37"/>
    </row>
    <row r="675" spans="32:32" x14ac:dyDescent="0.55000000000000004">
      <c r="AF675" s="37"/>
    </row>
    <row r="676" spans="32:32" x14ac:dyDescent="0.55000000000000004">
      <c r="AF676" s="37"/>
    </row>
    <row r="677" spans="32:32" x14ac:dyDescent="0.55000000000000004">
      <c r="AF677" s="37"/>
    </row>
    <row r="678" spans="32:32" x14ac:dyDescent="0.55000000000000004">
      <c r="AF678" s="37"/>
    </row>
    <row r="679" spans="32:32" x14ac:dyDescent="0.55000000000000004">
      <c r="AF679" s="37"/>
    </row>
    <row r="680" spans="32:32" x14ac:dyDescent="0.55000000000000004">
      <c r="AF680" s="37"/>
    </row>
    <row r="681" spans="32:32" x14ac:dyDescent="0.55000000000000004">
      <c r="AF681" s="37"/>
    </row>
    <row r="682" spans="32:32" x14ac:dyDescent="0.55000000000000004">
      <c r="AF682" s="37"/>
    </row>
    <row r="683" spans="32:32" x14ac:dyDescent="0.55000000000000004">
      <c r="AF683" s="37"/>
    </row>
    <row r="684" spans="32:32" x14ac:dyDescent="0.55000000000000004">
      <c r="AF684" s="37"/>
    </row>
    <row r="685" spans="32:32" x14ac:dyDescent="0.55000000000000004">
      <c r="AF685" s="37"/>
    </row>
    <row r="686" spans="32:32" x14ac:dyDescent="0.55000000000000004">
      <c r="AF686" s="37"/>
    </row>
    <row r="687" spans="32:32" x14ac:dyDescent="0.55000000000000004">
      <c r="AF687" s="37"/>
    </row>
    <row r="688" spans="32:32" x14ac:dyDescent="0.55000000000000004">
      <c r="AF688" s="37"/>
    </row>
    <row r="689" spans="32:32" x14ac:dyDescent="0.55000000000000004">
      <c r="AF689" s="37"/>
    </row>
    <row r="690" spans="32:32" x14ac:dyDescent="0.55000000000000004">
      <c r="AF690" s="37"/>
    </row>
    <row r="691" spans="32:32" x14ac:dyDescent="0.55000000000000004">
      <c r="AF691" s="37"/>
    </row>
    <row r="692" spans="32:32" x14ac:dyDescent="0.55000000000000004">
      <c r="AF692" s="37"/>
    </row>
    <row r="693" spans="32:32" x14ac:dyDescent="0.55000000000000004">
      <c r="AF693" s="37"/>
    </row>
    <row r="694" spans="32:32" x14ac:dyDescent="0.55000000000000004">
      <c r="AF694" s="37"/>
    </row>
    <row r="695" spans="32:32" x14ac:dyDescent="0.55000000000000004">
      <c r="AF695" s="37"/>
    </row>
    <row r="696" spans="32:32" x14ac:dyDescent="0.55000000000000004">
      <c r="AF696" s="37"/>
    </row>
    <row r="697" spans="32:32" x14ac:dyDescent="0.55000000000000004">
      <c r="AF697" s="37"/>
    </row>
    <row r="698" spans="32:32" x14ac:dyDescent="0.55000000000000004">
      <c r="AF698" s="37"/>
    </row>
    <row r="699" spans="32:32" x14ac:dyDescent="0.55000000000000004">
      <c r="AF699" s="37"/>
    </row>
    <row r="700" spans="32:32" x14ac:dyDescent="0.55000000000000004">
      <c r="AF700" s="37"/>
    </row>
    <row r="701" spans="32:32" x14ac:dyDescent="0.55000000000000004">
      <c r="AF701" s="37"/>
    </row>
    <row r="702" spans="32:32" x14ac:dyDescent="0.55000000000000004">
      <c r="AF702" s="37"/>
    </row>
    <row r="703" spans="32:32" x14ac:dyDescent="0.55000000000000004">
      <c r="AF703" s="37"/>
    </row>
    <row r="704" spans="32:32" x14ac:dyDescent="0.55000000000000004">
      <c r="AF704" s="37"/>
    </row>
    <row r="705" spans="32:32" x14ac:dyDescent="0.55000000000000004">
      <c r="AF705" s="37"/>
    </row>
    <row r="706" spans="32:32" x14ac:dyDescent="0.55000000000000004">
      <c r="AF706" s="37"/>
    </row>
    <row r="707" spans="32:32" x14ac:dyDescent="0.55000000000000004">
      <c r="AF707" s="37"/>
    </row>
    <row r="708" spans="32:32" x14ac:dyDescent="0.55000000000000004">
      <c r="AF708" s="37"/>
    </row>
    <row r="709" spans="32:32" x14ac:dyDescent="0.55000000000000004">
      <c r="AF709" s="37"/>
    </row>
    <row r="710" spans="32:32" x14ac:dyDescent="0.55000000000000004">
      <c r="AF710" s="37"/>
    </row>
    <row r="711" spans="32:32" x14ac:dyDescent="0.55000000000000004">
      <c r="AF711" s="37"/>
    </row>
    <row r="712" spans="32:32" x14ac:dyDescent="0.55000000000000004">
      <c r="AF712" s="37"/>
    </row>
    <row r="713" spans="32:32" x14ac:dyDescent="0.55000000000000004">
      <c r="AF713" s="37"/>
    </row>
    <row r="714" spans="32:32" x14ac:dyDescent="0.55000000000000004">
      <c r="AF714" s="37"/>
    </row>
    <row r="715" spans="32:32" x14ac:dyDescent="0.55000000000000004">
      <c r="AF715" s="37"/>
    </row>
    <row r="716" spans="32:32" x14ac:dyDescent="0.55000000000000004">
      <c r="AF716" s="37"/>
    </row>
    <row r="717" spans="32:32" x14ac:dyDescent="0.55000000000000004">
      <c r="AF717" s="37"/>
    </row>
    <row r="718" spans="32:32" x14ac:dyDescent="0.55000000000000004">
      <c r="AF718" s="37"/>
    </row>
  </sheetData>
  <sheetProtection formatColumns="0" formatRows="0" insertRows="0" deleteRows="0"/>
  <dataConsolidate/>
  <mergeCells count="19">
    <mergeCell ref="B7:B8"/>
    <mergeCell ref="X7:X8"/>
    <mergeCell ref="N7:P7"/>
    <mergeCell ref="Q7:S7"/>
    <mergeCell ref="T7:V7"/>
    <mergeCell ref="K7:K8"/>
    <mergeCell ref="L7:L8"/>
    <mergeCell ref="Z7:Z8"/>
    <mergeCell ref="AA7:AA8"/>
    <mergeCell ref="AC7:AE7"/>
    <mergeCell ref="J7:J8"/>
    <mergeCell ref="M7:M8"/>
    <mergeCell ref="Y7:Y8"/>
    <mergeCell ref="W7:W8"/>
    <mergeCell ref="C2:D2"/>
    <mergeCell ref="C7:D8"/>
    <mergeCell ref="E7:G8"/>
    <mergeCell ref="H7:H8"/>
    <mergeCell ref="I7:I8"/>
  </mergeCells>
  <phoneticPr fontId="1"/>
  <conditionalFormatting sqref="B20:AA20 B10:AA16">
    <cfRule type="expression" dxfId="5" priority="632">
      <formula>AND($D10&lt;&gt;"",$AA10&lt;&gt;"")</formula>
    </cfRule>
    <cfRule type="expression" dxfId="4" priority="633">
      <formula>$AA10&lt;&gt;""</formula>
    </cfRule>
  </conditionalFormatting>
  <conditionalFormatting sqref="B18:AA19">
    <cfRule type="expression" dxfId="3" priority="5">
      <formula>AND($D18&lt;&gt;"",$AA18&lt;&gt;"")</formula>
    </cfRule>
    <cfRule type="expression" dxfId="2" priority="6">
      <formula>$AA18&lt;&gt;""</formula>
    </cfRule>
  </conditionalFormatting>
  <conditionalFormatting sqref="B17:AA17">
    <cfRule type="expression" dxfId="1" priority="1">
      <formula>AND($D17&lt;&gt;"",$AA17&lt;&gt;"")</formula>
    </cfRule>
    <cfRule type="expression" dxfId="0" priority="2">
      <formula>$AA17&lt;&gt;""</formula>
    </cfRule>
  </conditionalFormatting>
  <dataValidations count="2">
    <dataValidation type="list" allowBlank="1" showInputMessage="1" showErrorMessage="1" sqref="E2:F2">
      <formula1>サービス種別</formula1>
    </dataValidation>
    <dataValidation type="list" allowBlank="1" showInputMessage="1" showErrorMessage="1" sqref="G2:H2">
      <formula1>"ＰｒｅｐａｉｄＣｕｂｅ＋,ＤｅｂｉｔＣｕｂｅ＋"</formula1>
    </dataValidation>
  </dataValidations>
  <pageMargins left="0.15748031496062992" right="0.15748031496062992" top="0.39370078740157483" bottom="0.39370078740157483" header="0.11811023622047245" footer="0.11811023622047245"/>
  <pageSetup paperSize="9" scale="48" fitToHeight="0" orientation="landscape" r:id="rId1"/>
  <headerFooter alignWithMargins="0">
    <oddFooter>&amp;C&amp;P／&amp;N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099" r:id="rId4" name="Button 2331">
              <controlPr defaultSize="0" print="0" autoFill="0" autoPict="0" macro="[0]!MAIN_日付チェック" altText="日付チェック">
                <anchor moveWithCells="1" sizeWithCells="1">
                  <from>
                    <xdr:col>1</xdr:col>
                    <xdr:colOff>68580</xdr:colOff>
                    <xdr:row>3</xdr:row>
                    <xdr:rowOff>60960</xdr:rowOff>
                  </from>
                  <to>
                    <xdr:col>3</xdr:col>
                    <xdr:colOff>304800</xdr:colOff>
                    <xdr:row>4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Q18"/>
  <sheetViews>
    <sheetView showGridLines="0" zoomScaleNormal="100" workbookViewId="0">
      <selection activeCell="J10" sqref="J10"/>
    </sheetView>
  </sheetViews>
  <sheetFormatPr defaultColWidth="9" defaultRowHeight="19.2" x14ac:dyDescent="0.2"/>
  <cols>
    <col min="1" max="1" width="5.33203125" style="3" customWidth="1"/>
    <col min="2" max="2" width="16.21875" style="2" customWidth="1"/>
    <col min="3" max="3" width="57.44140625" style="2" customWidth="1"/>
    <col min="4" max="4" width="17.33203125" style="2" customWidth="1"/>
    <col min="5" max="5" width="41.33203125" style="2" customWidth="1"/>
    <col min="6" max="6" width="12" style="2" customWidth="1"/>
    <col min="7" max="7" width="13.109375" style="2" customWidth="1"/>
    <col min="8" max="8" width="10" style="2" customWidth="1"/>
    <col min="9" max="9" width="13.33203125" style="2" customWidth="1"/>
    <col min="10" max="10" width="11.33203125" style="2" customWidth="1"/>
    <col min="11" max="11" width="11.88671875" style="2" customWidth="1"/>
    <col min="12" max="12" width="9" style="2"/>
    <col min="13" max="13" width="13.33203125" style="2" customWidth="1"/>
    <col min="14" max="14" width="23" style="2" customWidth="1"/>
    <col min="15" max="17" width="9" style="2"/>
    <col min="18" max="18" width="0.88671875" style="2" customWidth="1"/>
    <col min="19" max="16384" width="9" style="2"/>
  </cols>
  <sheetData>
    <row r="2" spans="1:17" ht="17.399999999999999" x14ac:dyDescent="0.2">
      <c r="A2" s="1" t="s">
        <v>7</v>
      </c>
    </row>
    <row r="3" spans="1:17" ht="4.5" customHeight="1" thickBot="1" x14ac:dyDescent="0.25">
      <c r="P3" s="16"/>
      <c r="Q3" s="16"/>
    </row>
    <row r="4" spans="1:17" ht="21.75" customHeight="1" thickTop="1" x14ac:dyDescent="0.2">
      <c r="B4" s="4" t="s">
        <v>8</v>
      </c>
      <c r="C4" s="5" t="s">
        <v>87</v>
      </c>
      <c r="D4" s="6" t="s">
        <v>9</v>
      </c>
      <c r="E4" s="7" t="s">
        <v>89</v>
      </c>
      <c r="F4" s="8" t="s">
        <v>10</v>
      </c>
      <c r="G4" s="9" t="s">
        <v>94</v>
      </c>
      <c r="H4" s="10" t="s">
        <v>11</v>
      </c>
      <c r="I4" s="11">
        <v>44379</v>
      </c>
      <c r="J4" s="8" t="s">
        <v>12</v>
      </c>
      <c r="K4" s="12"/>
      <c r="L4" s="10" t="s">
        <v>13</v>
      </c>
      <c r="M4" s="11"/>
      <c r="O4" s="15"/>
      <c r="P4" s="167" t="s">
        <v>34</v>
      </c>
      <c r="Q4" s="168"/>
    </row>
    <row r="5" spans="1:17" ht="21.75" customHeight="1" thickBot="1" x14ac:dyDescent="0.55000000000000004">
      <c r="B5" s="4" t="s">
        <v>33</v>
      </c>
      <c r="C5" s="5" t="s">
        <v>88</v>
      </c>
      <c r="D5" s="13" t="s">
        <v>14</v>
      </c>
      <c r="E5" s="7" t="s">
        <v>96</v>
      </c>
      <c r="F5" s="13" t="s">
        <v>38</v>
      </c>
      <c r="G5" s="171" t="s">
        <v>41</v>
      </c>
      <c r="H5" s="172"/>
      <c r="I5" s="173"/>
      <c r="J5" s="8" t="s">
        <v>15</v>
      </c>
      <c r="K5" s="9"/>
      <c r="L5" s="10" t="s">
        <v>16</v>
      </c>
      <c r="M5" s="11"/>
      <c r="O5" s="15"/>
      <c r="P5" s="169"/>
      <c r="Q5" s="170"/>
    </row>
    <row r="6" spans="1:17" ht="4.5" customHeight="1" thickTop="1" x14ac:dyDescent="0.2"/>
    <row r="8" spans="1:17" x14ac:dyDescent="0.2">
      <c r="G8" s="18" t="s">
        <v>50</v>
      </c>
    </row>
    <row r="9" spans="1:17" x14ac:dyDescent="0.2">
      <c r="A9" s="17"/>
      <c r="G9" s="2" t="s">
        <v>40</v>
      </c>
    </row>
    <row r="10" spans="1:17" x14ac:dyDescent="0.2">
      <c r="A10" s="17"/>
      <c r="G10" s="2" t="s">
        <v>41</v>
      </c>
    </row>
    <row r="11" spans="1:17" x14ac:dyDescent="0.2">
      <c r="G11" s="2" t="s">
        <v>42</v>
      </c>
    </row>
    <row r="12" spans="1:17" x14ac:dyDescent="0.2">
      <c r="G12" s="2" t="s">
        <v>43</v>
      </c>
    </row>
    <row r="13" spans="1:17" x14ac:dyDescent="0.2">
      <c r="G13" s="2" t="s">
        <v>44</v>
      </c>
    </row>
    <row r="14" spans="1:17" x14ac:dyDescent="0.2">
      <c r="G14" s="2" t="s">
        <v>45</v>
      </c>
    </row>
    <row r="15" spans="1:17" x14ac:dyDescent="0.2">
      <c r="G15" s="2" t="s">
        <v>46</v>
      </c>
    </row>
    <row r="16" spans="1:17" x14ac:dyDescent="0.2">
      <c r="G16" s="2" t="s">
        <v>47</v>
      </c>
    </row>
    <row r="17" spans="7:7" x14ac:dyDescent="0.2">
      <c r="G17" s="2" t="s">
        <v>48</v>
      </c>
    </row>
    <row r="18" spans="7:7" x14ac:dyDescent="0.2">
      <c r="G18" s="2" t="s">
        <v>49</v>
      </c>
    </row>
  </sheetData>
  <mergeCells count="2">
    <mergeCell ref="P4:Q5"/>
    <mergeCell ref="G5:I5"/>
  </mergeCells>
  <phoneticPr fontId="1"/>
  <dataValidations count="1">
    <dataValidation type="list" allowBlank="1" showInputMessage="1" showErrorMessage="1" sqref="G5:I5">
      <formula1>テスト分類</formula1>
    </dataValidation>
  </dataValidations>
  <pageMargins left="0.70866141732283472" right="0.70866141732283472" top="0.74803149606299213" bottom="0.74803149606299213" header="0.31496062992125984" footer="0.31496062992125984"/>
  <pageSetup paperSize="9" scale="4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9"/>
  <sheetViews>
    <sheetView workbookViewId="0">
      <selection activeCell="E22" sqref="E22"/>
    </sheetView>
  </sheetViews>
  <sheetFormatPr defaultRowHeight="13.2" x14ac:dyDescent="0.2"/>
  <cols>
    <col min="1" max="1" width="8.6640625" style="128" customWidth="1"/>
    <col min="2" max="2" width="6.33203125" customWidth="1"/>
    <col min="3" max="3" width="17.109375" customWidth="1"/>
    <col min="4" max="4" width="25.6640625" customWidth="1"/>
    <col min="5" max="5" width="28.44140625" customWidth="1"/>
    <col min="6" max="6" width="12.6640625" bestFit="1" customWidth="1"/>
  </cols>
  <sheetData>
    <row r="2" spans="1:6" x14ac:dyDescent="0.2">
      <c r="A2" s="128" t="s">
        <v>118</v>
      </c>
    </row>
    <row r="4" spans="1:6" x14ac:dyDescent="0.2">
      <c r="B4" s="176" t="s">
        <v>124</v>
      </c>
      <c r="C4" s="176" t="s">
        <v>125</v>
      </c>
      <c r="D4" s="176" t="s">
        <v>107</v>
      </c>
      <c r="E4" s="176" t="s">
        <v>106</v>
      </c>
      <c r="F4" s="176" t="s">
        <v>143</v>
      </c>
    </row>
    <row r="5" spans="1:6" x14ac:dyDescent="0.2">
      <c r="B5" s="174">
        <v>1</v>
      </c>
      <c r="C5" s="174" t="s">
        <v>102</v>
      </c>
      <c r="D5" s="174" t="s">
        <v>123</v>
      </c>
      <c r="E5" s="129" t="s">
        <v>108</v>
      </c>
      <c r="F5" s="129"/>
    </row>
    <row r="6" spans="1:6" x14ac:dyDescent="0.2">
      <c r="B6" s="174">
        <v>2</v>
      </c>
      <c r="C6" s="174" t="s">
        <v>103</v>
      </c>
      <c r="D6" s="174" t="s">
        <v>122</v>
      </c>
      <c r="E6" s="129" t="s">
        <v>109</v>
      </c>
      <c r="F6" s="129"/>
    </row>
    <row r="7" spans="1:6" x14ac:dyDescent="0.2">
      <c r="B7" s="174">
        <v>3</v>
      </c>
      <c r="C7" s="174" t="s">
        <v>104</v>
      </c>
      <c r="D7" s="174" t="s">
        <v>121</v>
      </c>
      <c r="E7" s="129" t="s">
        <v>108</v>
      </c>
      <c r="F7" s="129"/>
    </row>
    <row r="8" spans="1:6" x14ac:dyDescent="0.2">
      <c r="B8" s="174">
        <v>4</v>
      </c>
      <c r="C8" s="174" t="s">
        <v>105</v>
      </c>
      <c r="D8" s="174" t="s">
        <v>120</v>
      </c>
      <c r="E8" s="129" t="s">
        <v>108</v>
      </c>
      <c r="F8" s="129"/>
    </row>
    <row r="9" spans="1:6" x14ac:dyDescent="0.2">
      <c r="B9" s="174">
        <v>5</v>
      </c>
      <c r="C9" s="175" t="s">
        <v>110</v>
      </c>
      <c r="D9" s="174" t="s">
        <v>119</v>
      </c>
      <c r="E9" s="129" t="s">
        <v>111</v>
      </c>
      <c r="F9" s="129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5"/>
  <sheetViews>
    <sheetView workbookViewId="0">
      <selection activeCell="C19" sqref="C19"/>
    </sheetView>
  </sheetViews>
  <sheetFormatPr defaultRowHeight="13.2" x14ac:dyDescent="0.2"/>
  <cols>
    <col min="1" max="1" width="12.77734375" bestFit="1" customWidth="1"/>
    <col min="3" max="3" width="23.6640625" bestFit="1" customWidth="1"/>
    <col min="4" max="4" width="60.21875" customWidth="1"/>
    <col min="5" max="5" width="27.21875" customWidth="1"/>
    <col min="6" max="6" width="12.33203125" bestFit="1" customWidth="1"/>
  </cols>
  <sheetData>
    <row r="2" spans="1:6" x14ac:dyDescent="0.2">
      <c r="A2" s="128" t="s">
        <v>223</v>
      </c>
    </row>
    <row r="3" spans="1:6" x14ac:dyDescent="0.2">
      <c r="A3" s="128"/>
    </row>
    <row r="4" spans="1:6" x14ac:dyDescent="0.2">
      <c r="A4" s="128"/>
      <c r="B4" s="176" t="s">
        <v>124</v>
      </c>
      <c r="C4" s="176" t="s">
        <v>130</v>
      </c>
      <c r="D4" s="176" t="s">
        <v>126</v>
      </c>
      <c r="E4" s="176" t="s">
        <v>106</v>
      </c>
      <c r="F4" s="176" t="s">
        <v>143</v>
      </c>
    </row>
    <row r="5" spans="1:6" x14ac:dyDescent="0.2">
      <c r="A5" s="185" t="s">
        <v>225</v>
      </c>
      <c r="B5" s="174">
        <v>1</v>
      </c>
      <c r="C5" s="174" t="s">
        <v>131</v>
      </c>
      <c r="D5" s="174" t="s">
        <v>144</v>
      </c>
      <c r="E5" s="129" t="s">
        <v>140</v>
      </c>
      <c r="F5" s="129"/>
    </row>
    <row r="6" spans="1:6" x14ac:dyDescent="0.2">
      <c r="A6" s="185" t="s">
        <v>225</v>
      </c>
      <c r="B6" s="174">
        <v>2</v>
      </c>
      <c r="C6" s="174" t="s">
        <v>132</v>
      </c>
      <c r="D6" s="174" t="s">
        <v>145</v>
      </c>
      <c r="E6" s="129" t="s">
        <v>141</v>
      </c>
      <c r="F6" s="129"/>
    </row>
    <row r="7" spans="1:6" x14ac:dyDescent="0.2">
      <c r="A7" s="185" t="s">
        <v>225</v>
      </c>
      <c r="B7" s="174">
        <v>3</v>
      </c>
      <c r="C7" s="174" t="s">
        <v>133</v>
      </c>
      <c r="D7" s="174" t="s">
        <v>146</v>
      </c>
      <c r="E7" s="129" t="s">
        <v>142</v>
      </c>
      <c r="F7" s="129"/>
    </row>
    <row r="8" spans="1:6" x14ac:dyDescent="0.2">
      <c r="A8" s="186" t="s">
        <v>226</v>
      </c>
      <c r="B8" s="174">
        <v>4</v>
      </c>
      <c r="C8" s="174" t="s">
        <v>134</v>
      </c>
      <c r="D8" s="174" t="s">
        <v>147</v>
      </c>
      <c r="E8" s="129" t="s">
        <v>108</v>
      </c>
      <c r="F8" s="129"/>
    </row>
    <row r="9" spans="1:6" x14ac:dyDescent="0.2">
      <c r="A9" s="186" t="s">
        <v>226</v>
      </c>
      <c r="B9" s="174">
        <v>5</v>
      </c>
      <c r="C9" s="174" t="s">
        <v>135</v>
      </c>
      <c r="D9" s="174" t="s">
        <v>148</v>
      </c>
      <c r="E9" s="129" t="s">
        <v>108</v>
      </c>
      <c r="F9" s="129"/>
    </row>
    <row r="10" spans="1:6" x14ac:dyDescent="0.2">
      <c r="A10" s="186" t="s">
        <v>226</v>
      </c>
      <c r="B10" s="174">
        <v>6</v>
      </c>
      <c r="C10" s="174" t="s">
        <v>136</v>
      </c>
      <c r="D10" s="174" t="s">
        <v>149</v>
      </c>
      <c r="E10" s="129" t="s">
        <v>108</v>
      </c>
      <c r="F10" s="129"/>
    </row>
    <row r="11" spans="1:6" x14ac:dyDescent="0.2">
      <c r="A11" s="186" t="s">
        <v>226</v>
      </c>
      <c r="B11" s="174">
        <v>7</v>
      </c>
      <c r="C11" s="174" t="s">
        <v>137</v>
      </c>
      <c r="D11" s="174" t="s">
        <v>150</v>
      </c>
      <c r="E11" s="129" t="s">
        <v>108</v>
      </c>
      <c r="F11" s="129"/>
    </row>
    <row r="12" spans="1:6" x14ac:dyDescent="0.2">
      <c r="A12" s="186" t="s">
        <v>226</v>
      </c>
      <c r="B12" s="174">
        <v>8</v>
      </c>
      <c r="C12" s="174" t="s">
        <v>138</v>
      </c>
      <c r="D12" s="174" t="s">
        <v>151</v>
      </c>
      <c r="E12" s="129" t="s">
        <v>108</v>
      </c>
      <c r="F12" s="129"/>
    </row>
    <row r="13" spans="1:6" x14ac:dyDescent="0.2">
      <c r="A13" s="186" t="s">
        <v>226</v>
      </c>
      <c r="B13" s="174">
        <v>9</v>
      </c>
      <c r="C13" s="174" t="s">
        <v>139</v>
      </c>
      <c r="D13" s="174" t="s">
        <v>152</v>
      </c>
      <c r="E13" s="129" t="s">
        <v>108</v>
      </c>
      <c r="F13" s="129"/>
    </row>
    <row r="14" spans="1:6" x14ac:dyDescent="0.2">
      <c r="A14" s="186" t="s">
        <v>226</v>
      </c>
      <c r="B14" s="174">
        <v>10</v>
      </c>
      <c r="C14" s="175" t="s">
        <v>229</v>
      </c>
      <c r="D14" s="174" t="s">
        <v>228</v>
      </c>
      <c r="E14" s="129" t="s">
        <v>111</v>
      </c>
      <c r="F14" s="129"/>
    </row>
    <row r="15" spans="1:6" x14ac:dyDescent="0.2">
      <c r="A15" s="186" t="s">
        <v>226</v>
      </c>
      <c r="B15" s="174">
        <v>10</v>
      </c>
      <c r="C15" s="175" t="s">
        <v>227</v>
      </c>
      <c r="D15" s="174" t="s">
        <v>153</v>
      </c>
      <c r="E15" s="129" t="s">
        <v>111</v>
      </c>
      <c r="F15" s="12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H12"/>
  <sheetViews>
    <sheetView workbookViewId="0">
      <selection activeCell="M39" sqref="M39"/>
    </sheetView>
  </sheetViews>
  <sheetFormatPr defaultRowHeight="13.2" x14ac:dyDescent="0.2"/>
  <cols>
    <col min="16" max="16" width="10" bestFit="1" customWidth="1"/>
  </cols>
  <sheetData>
    <row r="2" spans="2:34" x14ac:dyDescent="0.2">
      <c r="B2" s="129" t="s">
        <v>156</v>
      </c>
      <c r="C2" s="129" t="s">
        <v>157</v>
      </c>
      <c r="D2" s="129" t="s">
        <v>158</v>
      </c>
      <c r="E2" s="129" t="s">
        <v>159</v>
      </c>
      <c r="F2" s="129" t="s">
        <v>160</v>
      </c>
      <c r="G2" s="129" t="s">
        <v>161</v>
      </c>
      <c r="H2" s="129" t="s">
        <v>162</v>
      </c>
      <c r="I2" s="129" t="s">
        <v>163</v>
      </c>
      <c r="J2" s="129" t="s">
        <v>164</v>
      </c>
      <c r="K2" s="129" t="s">
        <v>165</v>
      </c>
      <c r="L2" s="129" t="s">
        <v>166</v>
      </c>
      <c r="M2" s="129" t="s">
        <v>167</v>
      </c>
      <c r="N2" s="129" t="s">
        <v>168</v>
      </c>
      <c r="O2" s="129" t="s">
        <v>169</v>
      </c>
      <c r="P2" s="184" t="s">
        <v>170</v>
      </c>
      <c r="Q2" s="129" t="s">
        <v>171</v>
      </c>
      <c r="R2" s="129" t="s">
        <v>172</v>
      </c>
      <c r="S2" s="129" t="s">
        <v>173</v>
      </c>
      <c r="T2" s="129" t="s">
        <v>174</v>
      </c>
      <c r="U2" s="129" t="s">
        <v>175</v>
      </c>
      <c r="V2" s="129" t="s">
        <v>176</v>
      </c>
      <c r="W2" s="129" t="s">
        <v>177</v>
      </c>
      <c r="X2" s="129" t="s">
        <v>178</v>
      </c>
      <c r="Y2" s="129" t="s">
        <v>179</v>
      </c>
      <c r="Z2" s="129" t="s">
        <v>180</v>
      </c>
      <c r="AA2" s="129" t="s">
        <v>181</v>
      </c>
      <c r="AB2" s="129" t="s">
        <v>182</v>
      </c>
      <c r="AC2" s="129" t="s">
        <v>183</v>
      </c>
      <c r="AD2" s="129" t="s">
        <v>184</v>
      </c>
      <c r="AE2" s="129" t="s">
        <v>95</v>
      </c>
      <c r="AF2" s="129" t="s">
        <v>185</v>
      </c>
      <c r="AG2" s="129" t="s">
        <v>186</v>
      </c>
      <c r="AH2" s="129" t="s">
        <v>187</v>
      </c>
    </row>
    <row r="3" spans="2:34" x14ac:dyDescent="0.2">
      <c r="B3" s="129">
        <v>1</v>
      </c>
      <c r="C3" s="129" t="s">
        <v>188</v>
      </c>
      <c r="D3" s="129">
        <v>135</v>
      </c>
      <c r="E3" s="129">
        <v>61</v>
      </c>
      <c r="F3" s="129">
        <v>13</v>
      </c>
      <c r="G3" s="129" t="s">
        <v>189</v>
      </c>
      <c r="H3" s="129" t="s">
        <v>190</v>
      </c>
      <c r="I3" s="129" t="s">
        <v>191</v>
      </c>
      <c r="J3" s="129" t="s">
        <v>192</v>
      </c>
      <c r="K3" s="129" t="s">
        <v>193</v>
      </c>
      <c r="L3" s="129">
        <v>5017024015</v>
      </c>
      <c r="M3" s="129"/>
      <c r="N3" s="129" t="s">
        <v>194</v>
      </c>
      <c r="O3" s="129">
        <v>1017</v>
      </c>
      <c r="P3" s="174">
        <v>0</v>
      </c>
      <c r="Q3" s="131">
        <v>44348</v>
      </c>
      <c r="R3" s="129"/>
      <c r="S3" s="129"/>
      <c r="T3" s="129">
        <v>0</v>
      </c>
      <c r="U3" s="129"/>
      <c r="V3" s="129"/>
      <c r="W3" s="129"/>
      <c r="X3" s="129">
        <v>0</v>
      </c>
      <c r="Y3" s="129"/>
      <c r="Z3" s="129"/>
      <c r="AA3" s="129"/>
      <c r="AB3" s="129">
        <v>0</v>
      </c>
      <c r="AC3" s="129"/>
      <c r="AD3" s="129"/>
      <c r="AE3" s="130">
        <v>44371.555405092593</v>
      </c>
      <c r="AF3" s="129" t="s">
        <v>195</v>
      </c>
      <c r="AG3" s="129"/>
      <c r="AH3" s="129"/>
    </row>
    <row r="4" spans="2:34" x14ac:dyDescent="0.2">
      <c r="B4" s="129">
        <v>2</v>
      </c>
      <c r="C4" s="129" t="s">
        <v>196</v>
      </c>
      <c r="D4" s="129">
        <v>135</v>
      </c>
      <c r="E4" s="129">
        <v>61</v>
      </c>
      <c r="F4" s="129">
        <v>13</v>
      </c>
      <c r="G4" s="129" t="s">
        <v>189</v>
      </c>
      <c r="H4" s="129" t="s">
        <v>190</v>
      </c>
      <c r="I4" s="129" t="s">
        <v>191</v>
      </c>
      <c r="J4" s="129" t="s">
        <v>192</v>
      </c>
      <c r="K4" s="129" t="s">
        <v>197</v>
      </c>
      <c r="L4" s="129">
        <v>5017024015</v>
      </c>
      <c r="M4" s="129"/>
      <c r="N4" s="129" t="s">
        <v>198</v>
      </c>
      <c r="O4" s="129">
        <v>106111</v>
      </c>
      <c r="P4" s="174">
        <v>1</v>
      </c>
      <c r="Q4" s="131">
        <v>44348</v>
      </c>
      <c r="R4" s="129"/>
      <c r="S4" s="129"/>
      <c r="T4" s="129">
        <v>0</v>
      </c>
      <c r="U4" s="129"/>
      <c r="V4" s="129"/>
      <c r="W4" s="129"/>
      <c r="X4" s="129">
        <v>0</v>
      </c>
      <c r="Y4" s="129"/>
      <c r="Z4" s="129"/>
      <c r="AA4" s="129"/>
      <c r="AB4" s="129">
        <v>0</v>
      </c>
      <c r="AC4" s="129"/>
      <c r="AD4" s="129"/>
      <c r="AE4" s="130">
        <v>44371.555405092593</v>
      </c>
      <c r="AF4" s="129" t="s">
        <v>195</v>
      </c>
      <c r="AG4" s="129"/>
      <c r="AH4" s="129"/>
    </row>
    <row r="5" spans="2:34" x14ac:dyDescent="0.2">
      <c r="B5" s="129">
        <v>3</v>
      </c>
      <c r="C5" s="129" t="s">
        <v>199</v>
      </c>
      <c r="D5" s="129">
        <v>135</v>
      </c>
      <c r="E5" s="129">
        <v>61</v>
      </c>
      <c r="F5" s="129">
        <v>13</v>
      </c>
      <c r="G5" s="129" t="s">
        <v>189</v>
      </c>
      <c r="H5" s="129" t="s">
        <v>190</v>
      </c>
      <c r="I5" s="129" t="s">
        <v>191</v>
      </c>
      <c r="J5" s="129" t="s">
        <v>192</v>
      </c>
      <c r="K5" s="129" t="s">
        <v>200</v>
      </c>
      <c r="L5" s="129">
        <v>5017024015</v>
      </c>
      <c r="M5" s="129"/>
      <c r="N5" s="129" t="s">
        <v>201</v>
      </c>
      <c r="O5" s="129">
        <v>10645</v>
      </c>
      <c r="P5" s="174">
        <v>0</v>
      </c>
      <c r="Q5" s="131">
        <v>44348</v>
      </c>
      <c r="R5" s="129"/>
      <c r="S5" s="129"/>
      <c r="T5" s="129">
        <v>0</v>
      </c>
      <c r="U5" s="129"/>
      <c r="V5" s="129"/>
      <c r="W5" s="129"/>
      <c r="X5" s="129">
        <v>0</v>
      </c>
      <c r="Y5" s="129"/>
      <c r="Z5" s="129"/>
      <c r="AA5" s="129"/>
      <c r="AB5" s="129">
        <v>0</v>
      </c>
      <c r="AC5" s="129"/>
      <c r="AD5" s="129"/>
      <c r="AE5" s="130">
        <v>44371.555405092593</v>
      </c>
      <c r="AF5" s="129" t="s">
        <v>195</v>
      </c>
      <c r="AG5" s="129"/>
      <c r="AH5" s="129"/>
    </row>
    <row r="6" spans="2:34" x14ac:dyDescent="0.2">
      <c r="B6" s="129">
        <v>4</v>
      </c>
      <c r="C6" s="129" t="s">
        <v>202</v>
      </c>
      <c r="D6" s="129">
        <v>135</v>
      </c>
      <c r="E6" s="129">
        <v>61</v>
      </c>
      <c r="F6" s="129">
        <v>13</v>
      </c>
      <c r="G6" s="129" t="s">
        <v>189</v>
      </c>
      <c r="H6" s="129" t="s">
        <v>190</v>
      </c>
      <c r="I6" s="129" t="s">
        <v>191</v>
      </c>
      <c r="J6" s="129" t="s">
        <v>192</v>
      </c>
      <c r="K6" s="129" t="s">
        <v>203</v>
      </c>
      <c r="L6" s="129">
        <v>5017024015</v>
      </c>
      <c r="M6" s="129"/>
      <c r="N6" s="129" t="s">
        <v>204</v>
      </c>
      <c r="O6" s="129">
        <v>107851</v>
      </c>
      <c r="P6" s="174">
        <v>2</v>
      </c>
      <c r="Q6" s="131">
        <v>44348</v>
      </c>
      <c r="R6" s="129"/>
      <c r="S6" s="129"/>
      <c r="T6" s="129">
        <v>0</v>
      </c>
      <c r="U6" s="129"/>
      <c r="V6" s="129"/>
      <c r="W6" s="129"/>
      <c r="X6" s="129">
        <v>0</v>
      </c>
      <c r="Y6" s="129"/>
      <c r="Z6" s="129"/>
      <c r="AA6" s="129"/>
      <c r="AB6" s="129">
        <v>0</v>
      </c>
      <c r="AC6" s="129"/>
      <c r="AD6" s="129"/>
      <c r="AE6" s="130">
        <v>44371.555405092593</v>
      </c>
      <c r="AF6" s="129" t="s">
        <v>195</v>
      </c>
      <c r="AG6" s="129"/>
      <c r="AH6" s="129"/>
    </row>
    <row r="7" spans="2:34" x14ac:dyDescent="0.2">
      <c r="B7" s="129">
        <v>5</v>
      </c>
      <c r="C7" s="129" t="s">
        <v>205</v>
      </c>
      <c r="D7" s="129">
        <v>135</v>
      </c>
      <c r="E7" s="129">
        <v>61</v>
      </c>
      <c r="F7" s="129">
        <v>13</v>
      </c>
      <c r="G7" s="129" t="s">
        <v>189</v>
      </c>
      <c r="H7" s="129" t="s">
        <v>190</v>
      </c>
      <c r="I7" s="129" t="s">
        <v>191</v>
      </c>
      <c r="J7" s="129" t="s">
        <v>192</v>
      </c>
      <c r="K7" s="129" t="s">
        <v>206</v>
      </c>
      <c r="L7" s="129">
        <v>5017024015</v>
      </c>
      <c r="M7" s="129"/>
      <c r="N7" s="129" t="s">
        <v>207</v>
      </c>
      <c r="O7" s="129">
        <v>108189</v>
      </c>
      <c r="P7" s="174">
        <v>2</v>
      </c>
      <c r="Q7" s="131">
        <v>44348</v>
      </c>
      <c r="R7" s="129"/>
      <c r="S7" s="129"/>
      <c r="T7" s="129">
        <v>0</v>
      </c>
      <c r="U7" s="129"/>
      <c r="V7" s="129"/>
      <c r="W7" s="129"/>
      <c r="X7" s="129">
        <v>0</v>
      </c>
      <c r="Y7" s="129"/>
      <c r="Z7" s="129"/>
      <c r="AA7" s="129"/>
      <c r="AB7" s="129">
        <v>0</v>
      </c>
      <c r="AC7" s="129"/>
      <c r="AD7" s="129"/>
      <c r="AE7" s="130">
        <v>44371.555405092593</v>
      </c>
      <c r="AF7" s="129" t="s">
        <v>195</v>
      </c>
      <c r="AG7" s="129"/>
      <c r="AH7" s="129"/>
    </row>
    <row r="8" spans="2:34" x14ac:dyDescent="0.2">
      <c r="B8" s="129">
        <v>6</v>
      </c>
      <c r="C8" s="129" t="s">
        <v>208</v>
      </c>
      <c r="D8" s="129">
        <v>135</v>
      </c>
      <c r="E8" s="129">
        <v>61</v>
      </c>
      <c r="F8" s="129">
        <v>13</v>
      </c>
      <c r="G8" s="129" t="s">
        <v>189</v>
      </c>
      <c r="H8" s="129" t="s">
        <v>190</v>
      </c>
      <c r="I8" s="129" t="s">
        <v>191</v>
      </c>
      <c r="J8" s="129" t="s">
        <v>192</v>
      </c>
      <c r="K8" s="129" t="s">
        <v>209</v>
      </c>
      <c r="L8" s="129">
        <v>5017024015</v>
      </c>
      <c r="M8" s="129"/>
      <c r="N8" s="129" t="s">
        <v>210</v>
      </c>
      <c r="O8" s="129">
        <v>108964</v>
      </c>
      <c r="P8" s="174">
        <v>0</v>
      </c>
      <c r="Q8" s="131">
        <v>44348</v>
      </c>
      <c r="R8" s="129"/>
      <c r="S8" s="129"/>
      <c r="T8" s="129">
        <v>0</v>
      </c>
      <c r="U8" s="129"/>
      <c r="V8" s="129"/>
      <c r="W8" s="129"/>
      <c r="X8" s="129">
        <v>0</v>
      </c>
      <c r="Y8" s="129"/>
      <c r="Z8" s="129"/>
      <c r="AA8" s="129"/>
      <c r="AB8" s="129">
        <v>0</v>
      </c>
      <c r="AC8" s="129"/>
      <c r="AD8" s="129"/>
      <c r="AE8" s="130">
        <v>44371.555405092593</v>
      </c>
      <c r="AF8" s="129" t="s">
        <v>195</v>
      </c>
      <c r="AG8" s="129"/>
      <c r="AH8" s="129"/>
    </row>
    <row r="9" spans="2:34" x14ac:dyDescent="0.2">
      <c r="B9" s="129">
        <v>7</v>
      </c>
      <c r="C9" s="129" t="s">
        <v>211</v>
      </c>
      <c r="D9" s="129">
        <v>135</v>
      </c>
      <c r="E9" s="129">
        <v>61</v>
      </c>
      <c r="F9" s="129">
        <v>13</v>
      </c>
      <c r="G9" s="129" t="s">
        <v>189</v>
      </c>
      <c r="H9" s="129" t="s">
        <v>190</v>
      </c>
      <c r="I9" s="129" t="s">
        <v>191</v>
      </c>
      <c r="J9" s="129" t="s">
        <v>192</v>
      </c>
      <c r="K9" s="129" t="s">
        <v>212</v>
      </c>
      <c r="L9" s="129">
        <v>5017024015</v>
      </c>
      <c r="M9" s="129"/>
      <c r="N9" s="129" t="s">
        <v>213</v>
      </c>
      <c r="O9" s="129">
        <v>108975</v>
      </c>
      <c r="P9" s="174">
        <v>9</v>
      </c>
      <c r="Q9" s="131">
        <v>44317</v>
      </c>
      <c r="R9" s="131">
        <v>44347</v>
      </c>
      <c r="S9" s="129"/>
      <c r="T9" s="129">
        <v>0</v>
      </c>
      <c r="U9" s="129"/>
      <c r="V9" s="129"/>
      <c r="W9" s="129"/>
      <c r="X9" s="129">
        <v>0</v>
      </c>
      <c r="Y9" s="129"/>
      <c r="Z9" s="129"/>
      <c r="AA9" s="129"/>
      <c r="AB9" s="129">
        <v>0</v>
      </c>
      <c r="AC9" s="129"/>
      <c r="AD9" s="129"/>
      <c r="AE9" s="130">
        <v>44371.555405092593</v>
      </c>
      <c r="AF9" s="129" t="s">
        <v>195</v>
      </c>
      <c r="AG9" s="129"/>
      <c r="AH9" s="129"/>
    </row>
    <row r="10" spans="2:34" x14ac:dyDescent="0.2">
      <c r="B10" s="129">
        <v>8</v>
      </c>
      <c r="C10" s="129" t="s">
        <v>214</v>
      </c>
      <c r="D10" s="129">
        <v>135</v>
      </c>
      <c r="E10" s="129">
        <v>61</v>
      </c>
      <c r="F10" s="129">
        <v>13</v>
      </c>
      <c r="G10" s="129" t="s">
        <v>189</v>
      </c>
      <c r="H10" s="129" t="s">
        <v>190</v>
      </c>
      <c r="I10" s="129" t="s">
        <v>191</v>
      </c>
      <c r="J10" s="129" t="s">
        <v>192</v>
      </c>
      <c r="K10" s="129" t="s">
        <v>215</v>
      </c>
      <c r="L10" s="129">
        <v>5017024015</v>
      </c>
      <c r="M10" s="129"/>
      <c r="N10" s="129" t="s">
        <v>216</v>
      </c>
      <c r="O10" s="129">
        <v>11042</v>
      </c>
      <c r="P10" s="174">
        <v>1</v>
      </c>
      <c r="Q10" s="131">
        <v>44348</v>
      </c>
      <c r="R10" s="129"/>
      <c r="S10" s="129"/>
      <c r="T10" s="129">
        <v>0</v>
      </c>
      <c r="U10" s="129"/>
      <c r="V10" s="129"/>
      <c r="W10" s="129"/>
      <c r="X10" s="129">
        <v>0</v>
      </c>
      <c r="Y10" s="129"/>
      <c r="Z10" s="129"/>
      <c r="AA10" s="129"/>
      <c r="AB10" s="129">
        <v>0</v>
      </c>
      <c r="AC10" s="129"/>
      <c r="AD10" s="129"/>
      <c r="AE10" s="130">
        <v>44371.555405092593</v>
      </c>
      <c r="AF10" s="129" t="s">
        <v>195</v>
      </c>
      <c r="AG10" s="129"/>
      <c r="AH10" s="129"/>
    </row>
    <row r="11" spans="2:34" x14ac:dyDescent="0.2">
      <c r="B11" s="129">
        <v>9</v>
      </c>
      <c r="C11" s="129" t="s">
        <v>217</v>
      </c>
      <c r="D11" s="129">
        <v>135</v>
      </c>
      <c r="E11" s="129">
        <v>61</v>
      </c>
      <c r="F11" s="129">
        <v>13</v>
      </c>
      <c r="G11" s="129" t="s">
        <v>189</v>
      </c>
      <c r="H11" s="129" t="s">
        <v>190</v>
      </c>
      <c r="I11" s="129" t="s">
        <v>191</v>
      </c>
      <c r="J11" s="129" t="s">
        <v>192</v>
      </c>
      <c r="K11" s="129" t="s">
        <v>218</v>
      </c>
      <c r="L11" s="129">
        <v>5017024015</v>
      </c>
      <c r="M11" s="129"/>
      <c r="N11" s="129" t="s">
        <v>219</v>
      </c>
      <c r="O11" s="129">
        <v>11045</v>
      </c>
      <c r="P11" s="174">
        <v>9</v>
      </c>
      <c r="Q11" s="131">
        <v>44348</v>
      </c>
      <c r="R11" s="129"/>
      <c r="S11" s="129"/>
      <c r="T11" s="129">
        <v>0</v>
      </c>
      <c r="U11" s="129"/>
      <c r="V11" s="129"/>
      <c r="W11" s="129"/>
      <c r="X11" s="129">
        <v>0</v>
      </c>
      <c r="Y11" s="129"/>
      <c r="Z11" s="129"/>
      <c r="AA11" s="129"/>
      <c r="AB11" s="129">
        <v>0</v>
      </c>
      <c r="AC11" s="129"/>
      <c r="AD11" s="129"/>
      <c r="AE11" s="130">
        <v>44371.555405092593</v>
      </c>
      <c r="AF11" s="129" t="s">
        <v>195</v>
      </c>
      <c r="AG11" s="129"/>
      <c r="AH11" s="129"/>
    </row>
    <row r="12" spans="2:34" x14ac:dyDescent="0.2">
      <c r="B12" s="129">
        <v>10</v>
      </c>
      <c r="C12" s="129" t="s">
        <v>220</v>
      </c>
      <c r="D12" s="129">
        <v>135</v>
      </c>
      <c r="E12" s="129">
        <v>61</v>
      </c>
      <c r="F12" s="129">
        <v>13</v>
      </c>
      <c r="G12" s="129" t="s">
        <v>189</v>
      </c>
      <c r="H12" s="129" t="s">
        <v>190</v>
      </c>
      <c r="I12" s="129" t="s">
        <v>191</v>
      </c>
      <c r="J12" s="129" t="s">
        <v>192</v>
      </c>
      <c r="K12" s="129" t="s">
        <v>221</v>
      </c>
      <c r="L12" s="129">
        <v>5017024015</v>
      </c>
      <c r="M12" s="129"/>
      <c r="N12" s="129" t="s">
        <v>222</v>
      </c>
      <c r="O12" s="129">
        <v>124</v>
      </c>
      <c r="P12" s="174">
        <v>0</v>
      </c>
      <c r="Q12" s="131">
        <v>44348</v>
      </c>
      <c r="R12" s="129"/>
      <c r="S12" s="129"/>
      <c r="T12" s="129">
        <v>0</v>
      </c>
      <c r="U12" s="129"/>
      <c r="V12" s="129"/>
      <c r="W12" s="129"/>
      <c r="X12" s="129">
        <v>0</v>
      </c>
      <c r="Y12" s="129"/>
      <c r="Z12" s="129"/>
      <c r="AA12" s="129"/>
      <c r="AB12" s="129">
        <v>0</v>
      </c>
      <c r="AC12" s="129"/>
      <c r="AD12" s="129"/>
      <c r="AE12" s="130">
        <v>44371.55541666667</v>
      </c>
      <c r="AF12" s="129" t="s">
        <v>195</v>
      </c>
      <c r="AG12" s="129"/>
      <c r="AH12" s="129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7"/>
  <sheetViews>
    <sheetView workbookViewId="0">
      <selection activeCell="E12" sqref="E12"/>
    </sheetView>
  </sheetViews>
  <sheetFormatPr defaultRowHeight="13.2" x14ac:dyDescent="0.2"/>
  <cols>
    <col min="3" max="3" width="19.109375" customWidth="1"/>
    <col min="4" max="4" width="88.77734375" customWidth="1"/>
    <col min="5" max="5" width="32" bestFit="1" customWidth="1"/>
  </cols>
  <sheetData>
    <row r="2" spans="1:6" x14ac:dyDescent="0.2">
      <c r="A2" s="128" t="s">
        <v>223</v>
      </c>
    </row>
    <row r="3" spans="1:6" x14ac:dyDescent="0.2">
      <c r="A3" s="128"/>
    </row>
    <row r="4" spans="1:6" x14ac:dyDescent="0.2">
      <c r="A4" s="128"/>
      <c r="B4" s="176" t="s">
        <v>124</v>
      </c>
      <c r="C4" s="176" t="s">
        <v>130</v>
      </c>
      <c r="D4" s="176" t="s">
        <v>126</v>
      </c>
      <c r="E4" s="176" t="s">
        <v>106</v>
      </c>
      <c r="F4" s="176" t="s">
        <v>143</v>
      </c>
    </row>
    <row r="5" spans="1:6" x14ac:dyDescent="0.2">
      <c r="A5" s="128"/>
      <c r="B5" s="174">
        <v>1</v>
      </c>
      <c r="C5" s="174" t="s">
        <v>131</v>
      </c>
      <c r="D5" s="174" t="s">
        <v>224</v>
      </c>
      <c r="E5" s="129" t="s">
        <v>230</v>
      </c>
      <c r="F5" s="129"/>
    </row>
    <row r="6" spans="1:6" x14ac:dyDescent="0.2">
      <c r="A6" s="128"/>
      <c r="B6" s="174">
        <v>2</v>
      </c>
      <c r="C6" s="174" t="s">
        <v>132</v>
      </c>
      <c r="D6" s="174" t="s">
        <v>154</v>
      </c>
      <c r="E6" s="129" t="s">
        <v>231</v>
      </c>
      <c r="F6" s="129"/>
    </row>
    <row r="7" spans="1:6" x14ac:dyDescent="0.2">
      <c r="A7" s="128"/>
      <c r="B7" s="174">
        <v>3</v>
      </c>
      <c r="C7" s="174" t="s">
        <v>133</v>
      </c>
      <c r="D7" s="174" t="s">
        <v>155</v>
      </c>
      <c r="E7" s="129" t="s">
        <v>232</v>
      </c>
      <c r="F7" s="129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H12"/>
  <sheetViews>
    <sheetView workbookViewId="0">
      <selection activeCell="N23" sqref="N23"/>
    </sheetView>
  </sheetViews>
  <sheetFormatPr defaultRowHeight="13.2" x14ac:dyDescent="0.2"/>
  <cols>
    <col min="16" max="16" width="10" bestFit="1" customWidth="1"/>
  </cols>
  <sheetData>
    <row r="2" spans="2:34" x14ac:dyDescent="0.2">
      <c r="B2" s="129" t="s">
        <v>156</v>
      </c>
      <c r="C2" s="129" t="s">
        <v>157</v>
      </c>
      <c r="D2" s="129" t="s">
        <v>158</v>
      </c>
      <c r="E2" s="129" t="s">
        <v>159</v>
      </c>
      <c r="F2" s="129" t="s">
        <v>160</v>
      </c>
      <c r="G2" s="129" t="s">
        <v>161</v>
      </c>
      <c r="H2" s="129" t="s">
        <v>162</v>
      </c>
      <c r="I2" s="129" t="s">
        <v>163</v>
      </c>
      <c r="J2" s="129" t="s">
        <v>164</v>
      </c>
      <c r="K2" s="129" t="s">
        <v>165</v>
      </c>
      <c r="L2" s="129" t="s">
        <v>166</v>
      </c>
      <c r="M2" s="129" t="s">
        <v>167</v>
      </c>
      <c r="N2" s="129" t="s">
        <v>168</v>
      </c>
      <c r="O2" s="129" t="s">
        <v>169</v>
      </c>
      <c r="P2" s="184" t="s">
        <v>170</v>
      </c>
      <c r="Q2" s="129" t="s">
        <v>171</v>
      </c>
      <c r="R2" s="129" t="s">
        <v>172</v>
      </c>
      <c r="S2" s="129" t="s">
        <v>173</v>
      </c>
      <c r="T2" s="129" t="s">
        <v>174</v>
      </c>
      <c r="U2" s="129" t="s">
        <v>175</v>
      </c>
      <c r="V2" s="129" t="s">
        <v>176</v>
      </c>
      <c r="W2" s="129" t="s">
        <v>177</v>
      </c>
      <c r="X2" s="129" t="s">
        <v>178</v>
      </c>
      <c r="Y2" s="129" t="s">
        <v>179</v>
      </c>
      <c r="Z2" s="129" t="s">
        <v>180</v>
      </c>
      <c r="AA2" s="129" t="s">
        <v>181</v>
      </c>
      <c r="AB2" s="129" t="s">
        <v>182</v>
      </c>
      <c r="AC2" s="129" t="s">
        <v>183</v>
      </c>
      <c r="AD2" s="129" t="s">
        <v>184</v>
      </c>
      <c r="AE2" s="129" t="s">
        <v>95</v>
      </c>
      <c r="AF2" s="129" t="s">
        <v>185</v>
      </c>
      <c r="AG2" s="129" t="s">
        <v>186</v>
      </c>
      <c r="AH2" s="129" t="s">
        <v>187</v>
      </c>
    </row>
    <row r="3" spans="2:34" x14ac:dyDescent="0.2">
      <c r="B3" s="129">
        <v>1</v>
      </c>
      <c r="C3" s="129" t="s">
        <v>188</v>
      </c>
      <c r="D3" s="129">
        <v>135</v>
      </c>
      <c r="E3" s="129">
        <v>61</v>
      </c>
      <c r="F3" s="129">
        <v>13</v>
      </c>
      <c r="G3" s="129" t="s">
        <v>189</v>
      </c>
      <c r="H3" s="129" t="s">
        <v>190</v>
      </c>
      <c r="I3" s="129" t="s">
        <v>191</v>
      </c>
      <c r="J3" s="129" t="s">
        <v>192</v>
      </c>
      <c r="K3" s="129" t="s">
        <v>193</v>
      </c>
      <c r="L3" s="129">
        <v>5017024015</v>
      </c>
      <c r="M3" s="129"/>
      <c r="N3" s="129" t="s">
        <v>194</v>
      </c>
      <c r="O3" s="129">
        <v>1017</v>
      </c>
      <c r="P3" s="174">
        <v>0</v>
      </c>
      <c r="Q3" s="131">
        <v>44348</v>
      </c>
      <c r="R3" s="129"/>
      <c r="S3" s="129"/>
      <c r="T3" s="129">
        <v>0</v>
      </c>
      <c r="U3" s="129"/>
      <c r="V3" s="129"/>
      <c r="W3" s="129"/>
      <c r="X3" s="129">
        <v>0</v>
      </c>
      <c r="Y3" s="129"/>
      <c r="Z3" s="129"/>
      <c r="AA3" s="129"/>
      <c r="AB3" s="129">
        <v>0</v>
      </c>
      <c r="AC3" s="129"/>
      <c r="AD3" s="129"/>
      <c r="AE3" s="130">
        <v>44371.555405092593</v>
      </c>
      <c r="AF3" s="129" t="s">
        <v>195</v>
      </c>
      <c r="AG3" s="129"/>
      <c r="AH3" s="129"/>
    </row>
    <row r="4" spans="2:34" x14ac:dyDescent="0.2">
      <c r="B4" s="129">
        <v>2</v>
      </c>
      <c r="C4" s="129" t="s">
        <v>196</v>
      </c>
      <c r="D4" s="129">
        <v>135</v>
      </c>
      <c r="E4" s="129">
        <v>61</v>
      </c>
      <c r="F4" s="129">
        <v>13</v>
      </c>
      <c r="G4" s="129" t="s">
        <v>189</v>
      </c>
      <c r="H4" s="129" t="s">
        <v>190</v>
      </c>
      <c r="I4" s="129" t="s">
        <v>191</v>
      </c>
      <c r="J4" s="129" t="s">
        <v>192</v>
      </c>
      <c r="K4" s="129" t="s">
        <v>197</v>
      </c>
      <c r="L4" s="129">
        <v>5017024015</v>
      </c>
      <c r="M4" s="129"/>
      <c r="N4" s="129" t="s">
        <v>198</v>
      </c>
      <c r="O4" s="129">
        <v>106111</v>
      </c>
      <c r="P4" s="174">
        <v>0</v>
      </c>
      <c r="Q4" s="131">
        <v>44348</v>
      </c>
      <c r="R4" s="129"/>
      <c r="S4" s="129"/>
      <c r="T4" s="129">
        <v>0</v>
      </c>
      <c r="U4" s="129"/>
      <c r="V4" s="129"/>
      <c r="W4" s="129"/>
      <c r="X4" s="129">
        <v>0</v>
      </c>
      <c r="Y4" s="129"/>
      <c r="Z4" s="129"/>
      <c r="AA4" s="129"/>
      <c r="AB4" s="129">
        <v>0</v>
      </c>
      <c r="AC4" s="129"/>
      <c r="AD4" s="129"/>
      <c r="AE4" s="130">
        <v>44371.555405092593</v>
      </c>
      <c r="AF4" s="129" t="s">
        <v>195</v>
      </c>
      <c r="AG4" s="129"/>
      <c r="AH4" s="129"/>
    </row>
    <row r="5" spans="2:34" x14ac:dyDescent="0.2">
      <c r="B5" s="129">
        <v>3</v>
      </c>
      <c r="C5" s="129" t="s">
        <v>199</v>
      </c>
      <c r="D5" s="129">
        <v>135</v>
      </c>
      <c r="E5" s="129">
        <v>61</v>
      </c>
      <c r="F5" s="129">
        <v>13</v>
      </c>
      <c r="G5" s="129" t="s">
        <v>189</v>
      </c>
      <c r="H5" s="129" t="s">
        <v>190</v>
      </c>
      <c r="I5" s="129" t="s">
        <v>191</v>
      </c>
      <c r="J5" s="129" t="s">
        <v>192</v>
      </c>
      <c r="K5" s="129" t="s">
        <v>200</v>
      </c>
      <c r="L5" s="129">
        <v>5017024015</v>
      </c>
      <c r="M5" s="129"/>
      <c r="N5" s="129" t="s">
        <v>201</v>
      </c>
      <c r="O5" s="129">
        <v>10645</v>
      </c>
      <c r="P5" s="174">
        <v>0</v>
      </c>
      <c r="Q5" s="131">
        <v>44348</v>
      </c>
      <c r="R5" s="129"/>
      <c r="S5" s="129"/>
      <c r="T5" s="129">
        <v>0</v>
      </c>
      <c r="U5" s="129"/>
      <c r="V5" s="129"/>
      <c r="W5" s="129"/>
      <c r="X5" s="129">
        <v>0</v>
      </c>
      <c r="Y5" s="129"/>
      <c r="Z5" s="129"/>
      <c r="AA5" s="129"/>
      <c r="AB5" s="129">
        <v>0</v>
      </c>
      <c r="AC5" s="129"/>
      <c r="AD5" s="129"/>
      <c r="AE5" s="130">
        <v>44371.555405092593</v>
      </c>
      <c r="AF5" s="129" t="s">
        <v>195</v>
      </c>
      <c r="AG5" s="129"/>
      <c r="AH5" s="129"/>
    </row>
    <row r="6" spans="2:34" x14ac:dyDescent="0.2">
      <c r="B6" s="129">
        <v>4</v>
      </c>
      <c r="C6" s="129" t="s">
        <v>202</v>
      </c>
      <c r="D6" s="129">
        <v>135</v>
      </c>
      <c r="E6" s="129">
        <v>61</v>
      </c>
      <c r="F6" s="129">
        <v>13</v>
      </c>
      <c r="G6" s="129" t="s">
        <v>189</v>
      </c>
      <c r="H6" s="129" t="s">
        <v>190</v>
      </c>
      <c r="I6" s="129" t="s">
        <v>191</v>
      </c>
      <c r="J6" s="129" t="s">
        <v>192</v>
      </c>
      <c r="K6" s="129" t="s">
        <v>203</v>
      </c>
      <c r="L6" s="129">
        <v>5017024015</v>
      </c>
      <c r="M6" s="129"/>
      <c r="N6" s="129" t="s">
        <v>204</v>
      </c>
      <c r="O6" s="129">
        <v>107851</v>
      </c>
      <c r="P6" s="174">
        <v>0</v>
      </c>
      <c r="Q6" s="131">
        <v>44348</v>
      </c>
      <c r="R6" s="129"/>
      <c r="S6" s="129"/>
      <c r="T6" s="129">
        <v>0</v>
      </c>
      <c r="U6" s="129"/>
      <c r="V6" s="129"/>
      <c r="W6" s="129"/>
      <c r="X6" s="129">
        <v>0</v>
      </c>
      <c r="Y6" s="129"/>
      <c r="Z6" s="129"/>
      <c r="AA6" s="129"/>
      <c r="AB6" s="129">
        <v>0</v>
      </c>
      <c r="AC6" s="129"/>
      <c r="AD6" s="129"/>
      <c r="AE6" s="130">
        <v>44371.555405092593</v>
      </c>
      <c r="AF6" s="129" t="s">
        <v>195</v>
      </c>
      <c r="AG6" s="129"/>
      <c r="AH6" s="129"/>
    </row>
    <row r="7" spans="2:34" x14ac:dyDescent="0.2">
      <c r="B7" s="129">
        <v>5</v>
      </c>
      <c r="C7" s="129" t="s">
        <v>205</v>
      </c>
      <c r="D7" s="129">
        <v>135</v>
      </c>
      <c r="E7" s="129">
        <v>61</v>
      </c>
      <c r="F7" s="129">
        <v>13</v>
      </c>
      <c r="G7" s="129" t="s">
        <v>189</v>
      </c>
      <c r="H7" s="129" t="s">
        <v>190</v>
      </c>
      <c r="I7" s="129" t="s">
        <v>191</v>
      </c>
      <c r="J7" s="129" t="s">
        <v>192</v>
      </c>
      <c r="K7" s="129" t="s">
        <v>206</v>
      </c>
      <c r="L7" s="129">
        <v>5017024015</v>
      </c>
      <c r="M7" s="129"/>
      <c r="N7" s="129" t="s">
        <v>207</v>
      </c>
      <c r="O7" s="129">
        <v>108189</v>
      </c>
      <c r="P7" s="174">
        <v>0</v>
      </c>
      <c r="Q7" s="131">
        <v>44348</v>
      </c>
      <c r="R7" s="129"/>
      <c r="S7" s="129"/>
      <c r="T7" s="129">
        <v>0</v>
      </c>
      <c r="U7" s="129"/>
      <c r="V7" s="129"/>
      <c r="W7" s="129"/>
      <c r="X7" s="129">
        <v>0</v>
      </c>
      <c r="Y7" s="129"/>
      <c r="Z7" s="129"/>
      <c r="AA7" s="129"/>
      <c r="AB7" s="129">
        <v>0</v>
      </c>
      <c r="AC7" s="129"/>
      <c r="AD7" s="129"/>
      <c r="AE7" s="130">
        <v>44371.555405092593</v>
      </c>
      <c r="AF7" s="129" t="s">
        <v>195</v>
      </c>
      <c r="AG7" s="129"/>
      <c r="AH7" s="129"/>
    </row>
    <row r="8" spans="2:34" x14ac:dyDescent="0.2">
      <c r="B8" s="129">
        <v>6</v>
      </c>
      <c r="C8" s="129" t="s">
        <v>208</v>
      </c>
      <c r="D8" s="129">
        <v>135</v>
      </c>
      <c r="E8" s="129">
        <v>61</v>
      </c>
      <c r="F8" s="129">
        <v>13</v>
      </c>
      <c r="G8" s="129" t="s">
        <v>189</v>
      </c>
      <c r="H8" s="129" t="s">
        <v>190</v>
      </c>
      <c r="I8" s="129" t="s">
        <v>191</v>
      </c>
      <c r="J8" s="129" t="s">
        <v>192</v>
      </c>
      <c r="K8" s="129" t="s">
        <v>209</v>
      </c>
      <c r="L8" s="129">
        <v>5017024015</v>
      </c>
      <c r="M8" s="129"/>
      <c r="N8" s="129" t="s">
        <v>210</v>
      </c>
      <c r="O8" s="129">
        <v>108964</v>
      </c>
      <c r="P8" s="174">
        <v>0</v>
      </c>
      <c r="Q8" s="131">
        <v>44348</v>
      </c>
      <c r="R8" s="129"/>
      <c r="S8" s="129"/>
      <c r="T8" s="129">
        <v>0</v>
      </c>
      <c r="U8" s="129"/>
      <c r="V8" s="129"/>
      <c r="W8" s="129"/>
      <c r="X8" s="129">
        <v>0</v>
      </c>
      <c r="Y8" s="129"/>
      <c r="Z8" s="129"/>
      <c r="AA8" s="129"/>
      <c r="AB8" s="129">
        <v>0</v>
      </c>
      <c r="AC8" s="129"/>
      <c r="AD8" s="129"/>
      <c r="AE8" s="130">
        <v>44371.555405092593</v>
      </c>
      <c r="AF8" s="129" t="s">
        <v>195</v>
      </c>
      <c r="AG8" s="129"/>
      <c r="AH8" s="129"/>
    </row>
    <row r="9" spans="2:34" x14ac:dyDescent="0.2">
      <c r="B9" s="129">
        <v>7</v>
      </c>
      <c r="C9" s="129" t="s">
        <v>211</v>
      </c>
      <c r="D9" s="129">
        <v>135</v>
      </c>
      <c r="E9" s="129">
        <v>61</v>
      </c>
      <c r="F9" s="129">
        <v>13</v>
      </c>
      <c r="G9" s="129" t="s">
        <v>189</v>
      </c>
      <c r="H9" s="129" t="s">
        <v>190</v>
      </c>
      <c r="I9" s="129" t="s">
        <v>191</v>
      </c>
      <c r="J9" s="129" t="s">
        <v>192</v>
      </c>
      <c r="K9" s="129" t="s">
        <v>212</v>
      </c>
      <c r="L9" s="129">
        <v>5017024015</v>
      </c>
      <c r="M9" s="129"/>
      <c r="N9" s="129" t="s">
        <v>213</v>
      </c>
      <c r="O9" s="129">
        <v>108975</v>
      </c>
      <c r="P9" s="174">
        <v>0</v>
      </c>
      <c r="Q9" s="131">
        <v>44317</v>
      </c>
      <c r="R9" s="131">
        <v>44347</v>
      </c>
      <c r="S9" s="129"/>
      <c r="T9" s="129">
        <v>0</v>
      </c>
      <c r="U9" s="129"/>
      <c r="V9" s="129"/>
      <c r="W9" s="129"/>
      <c r="X9" s="129">
        <v>0</v>
      </c>
      <c r="Y9" s="129"/>
      <c r="Z9" s="129"/>
      <c r="AA9" s="129"/>
      <c r="AB9" s="129">
        <v>0</v>
      </c>
      <c r="AC9" s="129"/>
      <c r="AD9" s="129"/>
      <c r="AE9" s="130">
        <v>44371.555405092593</v>
      </c>
      <c r="AF9" s="129" t="s">
        <v>195</v>
      </c>
      <c r="AG9" s="129"/>
      <c r="AH9" s="129"/>
    </row>
    <row r="10" spans="2:34" x14ac:dyDescent="0.2">
      <c r="B10" s="129">
        <v>8</v>
      </c>
      <c r="C10" s="129" t="s">
        <v>214</v>
      </c>
      <c r="D10" s="129">
        <v>135</v>
      </c>
      <c r="E10" s="129">
        <v>61</v>
      </c>
      <c r="F10" s="129">
        <v>13</v>
      </c>
      <c r="G10" s="129" t="s">
        <v>189</v>
      </c>
      <c r="H10" s="129" t="s">
        <v>190</v>
      </c>
      <c r="I10" s="129" t="s">
        <v>191</v>
      </c>
      <c r="J10" s="129" t="s">
        <v>192</v>
      </c>
      <c r="K10" s="129" t="s">
        <v>215</v>
      </c>
      <c r="L10" s="129">
        <v>5017024015</v>
      </c>
      <c r="M10" s="129"/>
      <c r="N10" s="129" t="s">
        <v>216</v>
      </c>
      <c r="O10" s="129">
        <v>11042</v>
      </c>
      <c r="P10" s="174">
        <v>0</v>
      </c>
      <c r="Q10" s="131">
        <v>44348</v>
      </c>
      <c r="R10" s="129"/>
      <c r="S10" s="129"/>
      <c r="T10" s="129">
        <v>0</v>
      </c>
      <c r="U10" s="129"/>
      <c r="V10" s="129"/>
      <c r="W10" s="129"/>
      <c r="X10" s="129">
        <v>0</v>
      </c>
      <c r="Y10" s="129"/>
      <c r="Z10" s="129"/>
      <c r="AA10" s="129"/>
      <c r="AB10" s="129">
        <v>0</v>
      </c>
      <c r="AC10" s="129"/>
      <c r="AD10" s="129"/>
      <c r="AE10" s="130">
        <v>44371.555405092593</v>
      </c>
      <c r="AF10" s="129" t="s">
        <v>195</v>
      </c>
      <c r="AG10" s="129"/>
      <c r="AH10" s="129"/>
    </row>
    <row r="11" spans="2:34" x14ac:dyDescent="0.2">
      <c r="B11" s="129">
        <v>9</v>
      </c>
      <c r="C11" s="129" t="s">
        <v>217</v>
      </c>
      <c r="D11" s="129">
        <v>135</v>
      </c>
      <c r="E11" s="129">
        <v>61</v>
      </c>
      <c r="F11" s="129">
        <v>13</v>
      </c>
      <c r="G11" s="129" t="s">
        <v>189</v>
      </c>
      <c r="H11" s="129" t="s">
        <v>190</v>
      </c>
      <c r="I11" s="129" t="s">
        <v>191</v>
      </c>
      <c r="J11" s="129" t="s">
        <v>192</v>
      </c>
      <c r="K11" s="129" t="s">
        <v>218</v>
      </c>
      <c r="L11" s="129">
        <v>5017024015</v>
      </c>
      <c r="M11" s="129"/>
      <c r="N11" s="129" t="s">
        <v>219</v>
      </c>
      <c r="O11" s="129">
        <v>11045</v>
      </c>
      <c r="P11" s="174">
        <v>0</v>
      </c>
      <c r="Q11" s="131">
        <v>44348</v>
      </c>
      <c r="R11" s="129"/>
      <c r="S11" s="129"/>
      <c r="T11" s="129">
        <v>0</v>
      </c>
      <c r="U11" s="129"/>
      <c r="V11" s="129"/>
      <c r="W11" s="129"/>
      <c r="X11" s="129">
        <v>0</v>
      </c>
      <c r="Y11" s="129"/>
      <c r="Z11" s="129"/>
      <c r="AA11" s="129"/>
      <c r="AB11" s="129">
        <v>0</v>
      </c>
      <c r="AC11" s="129"/>
      <c r="AD11" s="129"/>
      <c r="AE11" s="130">
        <v>44371.555405092593</v>
      </c>
      <c r="AF11" s="129" t="s">
        <v>195</v>
      </c>
      <c r="AG11" s="129"/>
      <c r="AH11" s="129"/>
    </row>
    <row r="12" spans="2:34" x14ac:dyDescent="0.2">
      <c r="B12" s="129">
        <v>10</v>
      </c>
      <c r="C12" s="129" t="s">
        <v>220</v>
      </c>
      <c r="D12" s="129">
        <v>135</v>
      </c>
      <c r="E12" s="129">
        <v>61</v>
      </c>
      <c r="F12" s="129">
        <v>13</v>
      </c>
      <c r="G12" s="129" t="s">
        <v>189</v>
      </c>
      <c r="H12" s="129" t="s">
        <v>190</v>
      </c>
      <c r="I12" s="129" t="s">
        <v>191</v>
      </c>
      <c r="J12" s="129" t="s">
        <v>192</v>
      </c>
      <c r="K12" s="129" t="s">
        <v>221</v>
      </c>
      <c r="L12" s="129">
        <v>5017024015</v>
      </c>
      <c r="M12" s="129"/>
      <c r="N12" s="129" t="s">
        <v>222</v>
      </c>
      <c r="O12" s="129">
        <v>124</v>
      </c>
      <c r="P12" s="174">
        <v>0</v>
      </c>
      <c r="Q12" s="131">
        <v>44348</v>
      </c>
      <c r="R12" s="129"/>
      <c r="S12" s="129"/>
      <c r="T12" s="129">
        <v>0</v>
      </c>
      <c r="U12" s="129"/>
      <c r="V12" s="129"/>
      <c r="W12" s="129"/>
      <c r="X12" s="129">
        <v>0</v>
      </c>
      <c r="Y12" s="129"/>
      <c r="Z12" s="129"/>
      <c r="AA12" s="129"/>
      <c r="AB12" s="129">
        <v>0</v>
      </c>
      <c r="AC12" s="129"/>
      <c r="AD12" s="129"/>
      <c r="AE12" s="130">
        <v>44371.55541666667</v>
      </c>
      <c r="AF12" s="129" t="s">
        <v>195</v>
      </c>
      <c r="AG12" s="129"/>
      <c r="AH12" s="129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5"/>
  <sheetViews>
    <sheetView showGridLines="0" zoomScaleNormal="100" workbookViewId="0"/>
  </sheetViews>
  <sheetFormatPr defaultColWidth="9" defaultRowHeight="20.100000000000001" customHeight="1" x14ac:dyDescent="0.2"/>
  <cols>
    <col min="1" max="1" width="20.6640625" style="26" customWidth="1"/>
    <col min="2" max="2" width="15.6640625" style="26" customWidth="1"/>
    <col min="3" max="16384" width="9" style="26"/>
  </cols>
  <sheetData>
    <row r="1" spans="1:3" ht="20.100000000000001" customHeight="1" thickBot="1" x14ac:dyDescent="0.25">
      <c r="A1" s="24" t="s">
        <v>51</v>
      </c>
      <c r="B1" s="25" t="s">
        <v>63</v>
      </c>
      <c r="C1" s="26" t="s">
        <v>52</v>
      </c>
    </row>
    <row r="2" spans="1:3" ht="20.100000000000001" customHeight="1" thickBot="1" x14ac:dyDescent="0.25">
      <c r="A2" s="24"/>
      <c r="B2" s="27"/>
    </row>
    <row r="3" spans="1:3" ht="20.100000000000001" customHeight="1" thickBot="1" x14ac:dyDescent="0.25">
      <c r="A3" s="24" t="s">
        <v>64</v>
      </c>
      <c r="B3" s="28">
        <v>10</v>
      </c>
    </row>
    <row r="4" spans="1:3" ht="20.100000000000001" customHeight="1" x14ac:dyDescent="0.2">
      <c r="A4" s="24"/>
    </row>
    <row r="5" spans="1:3" ht="20.100000000000001" customHeight="1" x14ac:dyDescent="0.2">
      <c r="A5" s="29" t="s">
        <v>61</v>
      </c>
      <c r="B5" s="29" t="s">
        <v>62</v>
      </c>
    </row>
    <row r="6" spans="1:3" ht="20.100000000000001" customHeight="1" x14ac:dyDescent="0.2">
      <c r="A6" s="30" t="s">
        <v>76</v>
      </c>
      <c r="B6" s="31" t="s">
        <v>67</v>
      </c>
    </row>
    <row r="7" spans="1:3" ht="20.100000000000001" customHeight="1" x14ac:dyDescent="0.2">
      <c r="A7" s="32" t="s">
        <v>53</v>
      </c>
      <c r="B7" s="33" t="s">
        <v>68</v>
      </c>
    </row>
    <row r="8" spans="1:3" ht="20.100000000000001" customHeight="1" x14ac:dyDescent="0.2">
      <c r="A8" s="32" t="s">
        <v>54</v>
      </c>
      <c r="B8" s="33" t="s">
        <v>69</v>
      </c>
    </row>
    <row r="9" spans="1:3" ht="20.100000000000001" customHeight="1" x14ac:dyDescent="0.2">
      <c r="A9" s="32" t="s">
        <v>55</v>
      </c>
      <c r="B9" s="33" t="s">
        <v>70</v>
      </c>
    </row>
    <row r="10" spans="1:3" ht="20.100000000000001" customHeight="1" x14ac:dyDescent="0.2">
      <c r="A10" s="32" t="s">
        <v>56</v>
      </c>
      <c r="B10" s="33" t="s">
        <v>71</v>
      </c>
    </row>
    <row r="11" spans="1:3" ht="20.100000000000001" customHeight="1" x14ac:dyDescent="0.2">
      <c r="A11" s="32" t="s">
        <v>57</v>
      </c>
      <c r="B11" s="33" t="s">
        <v>72</v>
      </c>
    </row>
    <row r="12" spans="1:3" ht="20.100000000000001" customHeight="1" x14ac:dyDescent="0.2">
      <c r="A12" s="32" t="s">
        <v>58</v>
      </c>
      <c r="B12" s="33" t="s">
        <v>73</v>
      </c>
    </row>
    <row r="13" spans="1:3" ht="20.100000000000001" customHeight="1" x14ac:dyDescent="0.2">
      <c r="A13" s="32" t="s">
        <v>59</v>
      </c>
      <c r="B13" s="33" t="s">
        <v>74</v>
      </c>
    </row>
    <row r="14" spans="1:3" ht="20.100000000000001" customHeight="1" x14ac:dyDescent="0.2">
      <c r="A14" s="32" t="s">
        <v>60</v>
      </c>
      <c r="B14" s="33" t="s">
        <v>75</v>
      </c>
    </row>
    <row r="15" spans="1:3" ht="20.100000000000001" customHeight="1" x14ac:dyDescent="0.2">
      <c r="A15" s="34" t="s">
        <v>65</v>
      </c>
      <c r="B15" s="35" t="s">
        <v>66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7"/>
  <sheetViews>
    <sheetView zoomScaleNormal="100" workbookViewId="0">
      <pane xSplit="4" ySplit="1" topLeftCell="E2" activePane="bottomRight" state="frozen"/>
      <selection activeCell="E10" sqref="E10"/>
      <selection pane="topRight" activeCell="E10" sqref="E10"/>
      <selection pane="bottomLeft" activeCell="E10" sqref="E10"/>
      <selection pane="bottomRight" activeCell="A2" sqref="A2:D10000"/>
    </sheetView>
  </sheetViews>
  <sheetFormatPr defaultColWidth="9" defaultRowHeight="17.100000000000001" customHeight="1" x14ac:dyDescent="0.2"/>
  <cols>
    <col min="1" max="1" width="25.6640625" style="20" customWidth="1"/>
    <col min="2" max="2" width="10.6640625" style="20" customWidth="1"/>
    <col min="3" max="3" width="31.33203125" style="21" bestFit="1" customWidth="1"/>
    <col min="4" max="4" width="100.6640625" style="20" customWidth="1"/>
    <col min="5" max="16384" width="9" style="14"/>
  </cols>
  <sheetData>
    <row r="1" spans="1:4" ht="17.100000000000001" customHeight="1" x14ac:dyDescent="0.2">
      <c r="A1" s="19" t="s">
        <v>80</v>
      </c>
      <c r="B1" s="19" t="s">
        <v>77</v>
      </c>
      <c r="C1" s="19" t="s">
        <v>81</v>
      </c>
      <c r="D1" s="19" t="s">
        <v>78</v>
      </c>
    </row>
    <row r="2" spans="1:4" ht="17.100000000000001" customHeight="1" x14ac:dyDescent="0.2">
      <c r="B2" s="22"/>
    </row>
    <row r="3" spans="1:4" ht="17.100000000000001" customHeight="1" x14ac:dyDescent="0.2">
      <c r="B3" s="22"/>
    </row>
    <row r="4" spans="1:4" ht="17.100000000000001" customHeight="1" x14ac:dyDescent="0.2">
      <c r="B4" s="22"/>
    </row>
    <row r="5" spans="1:4" ht="17.100000000000001" customHeight="1" x14ac:dyDescent="0.2">
      <c r="B5" s="22"/>
    </row>
    <row r="6" spans="1:4" ht="17.100000000000001" customHeight="1" x14ac:dyDescent="0.2">
      <c r="B6" s="22"/>
    </row>
    <row r="7" spans="1:4" ht="17.100000000000001" customHeight="1" x14ac:dyDescent="0.2">
      <c r="B7" s="22"/>
    </row>
    <row r="8" spans="1:4" ht="17.100000000000001" customHeight="1" x14ac:dyDescent="0.2">
      <c r="B8" s="22"/>
    </row>
    <row r="9" spans="1:4" ht="17.100000000000001" customHeight="1" x14ac:dyDescent="0.2">
      <c r="B9" s="22"/>
    </row>
    <row r="10" spans="1:4" ht="17.100000000000001" customHeight="1" x14ac:dyDescent="0.2">
      <c r="B10" s="22"/>
    </row>
    <row r="11" spans="1:4" ht="17.100000000000001" customHeight="1" x14ac:dyDescent="0.2">
      <c r="B11" s="22"/>
    </row>
    <row r="12" spans="1:4" ht="17.100000000000001" customHeight="1" x14ac:dyDescent="0.2">
      <c r="B12" s="22"/>
    </row>
    <row r="13" spans="1:4" ht="17.100000000000001" customHeight="1" x14ac:dyDescent="0.2">
      <c r="B13" s="22"/>
      <c r="C13" s="23"/>
    </row>
    <row r="14" spans="1:4" ht="17.100000000000001" customHeight="1" x14ac:dyDescent="0.2">
      <c r="B14" s="22"/>
      <c r="C14" s="23"/>
    </row>
    <row r="15" spans="1:4" ht="17.100000000000001" customHeight="1" x14ac:dyDescent="0.2">
      <c r="B15" s="22"/>
    </row>
    <row r="16" spans="1:4" ht="17.100000000000001" customHeight="1" x14ac:dyDescent="0.2">
      <c r="B16" s="22"/>
      <c r="C16" s="23"/>
    </row>
    <row r="17" spans="2:3" ht="17.100000000000001" customHeight="1" x14ac:dyDescent="0.2">
      <c r="B17" s="22"/>
    </row>
    <row r="18" spans="2:3" ht="17.100000000000001" customHeight="1" x14ac:dyDescent="0.2">
      <c r="B18" s="22"/>
      <c r="C18" s="23"/>
    </row>
    <row r="19" spans="2:3" ht="17.100000000000001" customHeight="1" x14ac:dyDescent="0.2">
      <c r="B19" s="22"/>
    </row>
    <row r="20" spans="2:3" ht="17.100000000000001" customHeight="1" x14ac:dyDescent="0.2">
      <c r="B20" s="22"/>
      <c r="C20" s="23"/>
    </row>
    <row r="21" spans="2:3" ht="17.100000000000001" customHeight="1" x14ac:dyDescent="0.2">
      <c r="B21" s="22"/>
    </row>
    <row r="22" spans="2:3" ht="17.100000000000001" customHeight="1" x14ac:dyDescent="0.2">
      <c r="B22" s="22"/>
    </row>
    <row r="23" spans="2:3" ht="17.100000000000001" customHeight="1" x14ac:dyDescent="0.2">
      <c r="B23" s="22"/>
    </row>
    <row r="24" spans="2:3" ht="17.100000000000001" customHeight="1" x14ac:dyDescent="0.2">
      <c r="B24" s="22"/>
    </row>
    <row r="25" spans="2:3" ht="17.100000000000001" customHeight="1" x14ac:dyDescent="0.2">
      <c r="B25" s="22"/>
      <c r="C25" s="23"/>
    </row>
    <row r="26" spans="2:3" ht="17.100000000000001" customHeight="1" x14ac:dyDescent="0.2">
      <c r="B26" s="22"/>
    </row>
    <row r="27" spans="2:3" ht="17.100000000000001" customHeight="1" x14ac:dyDescent="0.2">
      <c r="B27" s="22"/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17</vt:i4>
      </vt:variant>
    </vt:vector>
  </HeadingPairs>
  <TitlesOfParts>
    <vt:vector size="26" baseType="lpstr">
      <vt:lpstr>テストケース_施設マスタトリガー</vt:lpstr>
      <vt:lpstr>ヘッダ</vt:lpstr>
      <vt:lpstr>S1.Insert</vt:lpstr>
      <vt:lpstr>S2.Update1</vt:lpstr>
      <vt:lpstr>S2.Update1_data</vt:lpstr>
      <vt:lpstr>S2.Update2</vt:lpstr>
      <vt:lpstr>S2.Update2_data</vt:lpstr>
      <vt:lpstr>Config</vt:lpstr>
      <vt:lpstr>エラー情報</vt:lpstr>
      <vt:lpstr>テストケース_施設マスタトリガー!_FilterDatabase</vt:lpstr>
      <vt:lpstr>テストケース_施設マスタトリガー!Print_Area</vt:lpstr>
      <vt:lpstr>テストケース_施設マスタトリガー!Print_Titles</vt:lpstr>
      <vt:lpstr>エラー領域</vt:lpstr>
      <vt:lpstr>シート名</vt:lpstr>
      <vt:lpstr>テスト分類</vt:lpstr>
      <vt:lpstr>明細開始行</vt:lpstr>
      <vt:lpstr>列_テストケースNo</vt:lpstr>
      <vt:lpstr>列_一次検証実績日</vt:lpstr>
      <vt:lpstr>列_一次検証予定日</vt:lpstr>
      <vt:lpstr>列_最終行判断</vt:lpstr>
      <vt:lpstr>列_削除日</vt:lpstr>
      <vt:lpstr>列_三次検証実績日</vt:lpstr>
      <vt:lpstr>列_三次検証予定日</vt:lpstr>
      <vt:lpstr>列_追加日</vt:lpstr>
      <vt:lpstr>列_二次検証実績日</vt:lpstr>
      <vt:lpstr>列_二次検証予定日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Cho, Kimbun | TRAMB</cp:lastModifiedBy>
  <dcterms:created xsi:type="dcterms:W3CDTF">2017-09-04T00:39:31Z</dcterms:created>
  <dcterms:modified xsi:type="dcterms:W3CDTF">2021-07-02T10:09:25Z</dcterms:modified>
</cp:coreProperties>
</file>